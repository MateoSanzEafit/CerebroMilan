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6000" windowHeight="21620" tabRatio="600" firstSheet="0" activeTab="0" autoFilterDateGrouping="1"/>
  </bookViews>
  <sheets>
    <sheet name="Instrucciones" sheetId="1" state="visible" r:id="rId1"/>
    <sheet name="1. Fuentes" sheetId="2" state="visible" r:id="rId2"/>
    <sheet name="2. Diccionario" sheetId="3" state="visible" r:id="rId3"/>
    <sheet name="3. Bitácora IA" sheetId="4" state="visible" r:id="rId4"/>
    <sheet name="Resumen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rgb="FF000000"/>
      <sz val="14"/>
    </font>
    <font>
      <name val="Arial"/>
      <family val="2"/>
      <color rgb="FF555555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sz val="14"/>
    </font>
    <font>
      <name val="Arial"/>
      <family val="2"/>
      <i val="1"/>
      <color rgb="FF555555"/>
      <sz val="9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9"/>
    </font>
    <font>
      <name val="Arial"/>
      <family val="2"/>
      <sz val="10"/>
    </font>
    <font>
      <name val="Arial"/>
      <family val="2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FFF7CC"/>
      </patternFill>
    </fill>
    <fill>
      <patternFill patternType="solid">
        <fgColor rgb="FF1F1F1F"/>
      </patternFill>
    </fill>
    <fill>
      <patternFill patternType="solid">
        <fgColor rgb="FFEDEDED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0" borderId="0" pivotButton="0" quotePrefix="0" xfId="0"/>
    <xf numFmtId="0" fontId="9" fillId="0" borderId="1" pivotButton="0" quotePrefix="0" xfId="0"/>
    <xf numFmtId="0" fontId="9" fillId="0" borderId="0" pivotButton="0" quotePrefix="0" xfId="0"/>
    <xf numFmtId="9" fontId="9" fillId="0" borderId="1" pivotButton="0" quotePrefix="0" xfId="0"/>
    <xf numFmtId="0" fontId="11" fillId="5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tabSelected="1" workbookViewId="0">
      <selection activeCell="A1" sqref="A1"/>
    </sheetView>
  </sheetViews>
  <sheetFormatPr baseColWidth="10" defaultColWidth="8.83203125" defaultRowHeight="15" outlineLevelCol="0"/>
  <cols>
    <col width="4" customWidth="1" min="1" max="1"/>
    <col width="110" customWidth="1" min="2" max="2"/>
  </cols>
  <sheetData>
    <row r="1" ht="19" customHeight="1">
      <c r="B1" s="1" t="inlineStr">
        <is>
          <t>Taller de datos · Entrega 1 · El lago y su diccionario</t>
        </is>
      </c>
    </row>
    <row r="2">
      <c r="B2" s="2" t="inlineStr">
        <is>
          <t>Tópicos de Sistemas de Información · Profesor Santiago Jiménez Londoño · topicos-si.vercel.app/Tallerdatos</t>
        </is>
      </c>
    </row>
    <row r="3">
      <c r="B3" s="3" t="n"/>
    </row>
    <row r="4" ht="16" customHeight="1">
      <c r="B4" s="4" t="inlineStr">
        <is>
          <t>Datos del grupo</t>
        </is>
      </c>
    </row>
    <row r="5">
      <c r="B5" s="5" t="inlineStr">
        <is>
          <t>Ciudad elegida: Milán (Milano, Italia)</t>
        </is>
      </c>
    </row>
    <row r="6">
      <c r="B6" s="5" t="inlineStr">
        <is>
          <t>Integrantes: Alyson Henao, Mateo Sanz, Samuel Arango, Emily Cardona</t>
        </is>
      </c>
    </row>
    <row r="7">
      <c r="B7" s="5" t="inlineStr">
        <is>
          <t>Enlace al repositorio o a la carpeta del lago: https://github.com/MateoSanzEafit/CerebroMilan</t>
        </is>
      </c>
    </row>
    <row r="8">
      <c r="B8" s="3" t="n"/>
    </row>
    <row r="9" ht="16" customHeight="1">
      <c r="B9" s="4" t="inlineStr">
        <is>
          <t>Qué entregan en este archivo</t>
        </is>
      </c>
    </row>
    <row r="10" ht="29" customHeight="1">
      <c r="B10" s="3" t="inlineStr">
        <is>
          <t>1. Fuentes · una fila por cada fuente que encontraron en el rastreo, entre o no al lago. Las descartadas también cuentan: explican las decisiones.</t>
        </is>
      </c>
    </row>
    <row r="11">
      <c r="B11" s="3" t="inlineStr">
        <is>
          <t>2. Diccionario · una fila por cada campo (columna o clave del JSON) que quedó en el lago. Si un campo no está aquí, no existe.</t>
        </is>
      </c>
    </row>
    <row r="12">
      <c r="B12" s="3" t="inlineStr">
        <is>
          <t>3. Bitácora IA · qué le encargaron a la IA durante la búsqueda, qué respondió y cómo lo comprobaron.</t>
        </is>
      </c>
    </row>
    <row r="13">
      <c r="B13" s="3" t="inlineStr">
        <is>
          <t>Resumen · se llena solo con fórmulas. No lo editen.</t>
        </is>
      </c>
    </row>
    <row r="14">
      <c r="B14" s="3" t="n"/>
    </row>
    <row r="15" ht="16" customHeight="1">
      <c r="B15" s="4" t="inlineStr">
        <is>
          <t>Cómo llenarlo</t>
        </is>
      </c>
    </row>
    <row r="16" ht="29" customHeight="1">
      <c r="B16" s="3" t="inlineStr">
        <is>
          <t>• Escriban solo en las celdas amarillas. La fila gris de cada hoja es un ejemplo (Medellín): pueden borrarla o dejarla, el resumen no la cuenta.</t>
        </is>
      </c>
    </row>
    <row r="17">
      <c r="B17" s="3" t="inlineStr">
        <is>
          <t>• El ID de fuente (F01, F02…) une las tres hojas: úsenlo igual en Fuentes, Diccionario y Bitácora IA.</t>
        </is>
      </c>
    </row>
    <row r="18">
      <c r="B18" s="3" t="inlineStr">
        <is>
          <t>• Las columnas con lista desplegable solo aceptan esas opciones.</t>
        </is>
      </c>
    </row>
    <row r="19">
      <c r="B19" s="3" t="inlineStr">
        <is>
          <t>• La licencia se copia tal como aparece en la fuente. Si la fuente no dice nada, escriban «no declara»: no la supongan.</t>
        </is>
      </c>
    </row>
    <row r="20">
      <c r="B20" s="3" t="inlineStr">
        <is>
          <t>• «Fecha en que la probaron» es el día en que la descarga o la API respondió de verdad, no el día en que la IA la mencionó.</t>
        </is>
      </c>
    </row>
    <row r="21">
      <c r="B21" s="3" t="inlineStr">
        <is>
          <t>• Una fuente que la IA nombró y que ustedes no pudieron abrir va igual en Fuentes, con estado «No responde» o «No existe».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width="9" customWidth="1" min="1" max="1"/>
    <col width="28" customWidth="1" min="2" max="2"/>
    <col width="22" customWidth="1" min="3" max="3"/>
    <col width="18" customWidth="1" min="4" max="4"/>
    <col width="36" customWidth="1" min="5" max="5"/>
    <col width="12" customWidth="1" min="6" max="6"/>
    <col width="18" customWidth="1" min="7" max="7"/>
    <col width="22" customWidth="1" min="8" max="8"/>
    <col width="18" customWidth="1" min="9" max="9"/>
    <col width="16" customWidth="1" min="10" max="10"/>
    <col width="14" customWidth="1" min="11" max="13"/>
    <col width="20" customWidth="1" min="14" max="14"/>
    <col width="26" customWidth="1" min="15" max="15"/>
    <col width="32" customWidth="1" min="16" max="16"/>
  </cols>
  <sheetData>
    <row r="1" ht="18" customHeight="1">
      <c r="A1" s="6" t="inlineStr">
        <is>
          <t>1. Catálogo de fuentes</t>
        </is>
      </c>
    </row>
    <row r="2">
      <c r="A2" s="7" t="inlineStr">
        <is>
          <t>Una fila por fuente encontrada. Escriban en las celdas amarillas; la fila gris es un ejemplo.</t>
        </is>
      </c>
    </row>
    <row r="3" ht="42" customHeight="1">
      <c r="A3" s="8" t="inlineStr">
        <is>
          <t>ID fuente</t>
        </is>
      </c>
      <c r="B3" s="8" t="inlineStr">
        <is>
          <t>Nombre del conjunto de datos</t>
        </is>
      </c>
      <c r="C3" s="8" t="inlineStr">
        <is>
          <t>Entidad que lo publica</t>
        </is>
      </c>
      <c r="D3" s="8" t="inlineStr">
        <is>
          <t>Tipo de publicador</t>
        </is>
      </c>
      <c r="E3" s="8" t="inlineStr">
        <is>
          <t>URL exacta (descarga o API)</t>
        </is>
      </c>
      <c r="F3" s="8" t="inlineStr">
        <is>
          <t>Formato</t>
        </is>
      </c>
      <c r="G3" s="8" t="inlineStr">
        <is>
          <t>Cómo se obtiene</t>
        </is>
      </c>
      <c r="H3" s="8" t="inlineStr">
        <is>
          <t>Licencia (tal como aparece)</t>
        </is>
      </c>
      <c r="I3" s="8" t="inlineStr">
        <is>
          <t>¿Trae datos de personas?</t>
        </is>
      </c>
      <c r="J3" s="8" t="inlineStr">
        <is>
          <t>Cobertura geográfica</t>
        </is>
      </c>
      <c r="K3" s="8" t="inlineStr">
        <is>
          <t>Periodo que cubre</t>
        </is>
      </c>
      <c r="L3" s="8" t="inlineStr">
        <is>
          <t>Frecuencia de actualización</t>
        </is>
      </c>
      <c r="M3" s="8" t="inlineStr">
        <is>
          <t>Fecha en que la probaron (AAAA-MM-DD)</t>
        </is>
      </c>
      <c r="N3" s="8" t="inlineStr">
        <is>
          <t>Estado</t>
        </is>
      </c>
      <c r="O3" s="8" t="inlineStr">
        <is>
          <t>Cómo la encontraron (IA o búsqueda)</t>
        </is>
      </c>
      <c r="P3" s="8" t="inlineStr">
        <is>
          <t>Observaciones</t>
        </is>
      </c>
    </row>
    <row r="4" ht="52" customHeight="1">
      <c r="A4" s="9" t="inlineStr">
        <is>
          <t>F01</t>
        </is>
      </c>
      <c r="B4" s="9" t="inlineStr">
        <is>
          <t>Vistas mensuales del artículo «Medellín» en Wikipedia</t>
        </is>
      </c>
      <c r="C4" s="9" t="inlineStr">
        <is>
          <t>Wikimedia Foundation</t>
        </is>
      </c>
      <c r="D4" s="9" t="inlineStr">
        <is>
          <t>Plataforma colaborativa</t>
        </is>
      </c>
      <c r="E4" s="9" t="inlineStr">
        <is>
          <t>https://wikimedia.org/api/rest_v1/metrics/pageviews/per-article/es.wikipedia/all-access/user/Medellín/monthly/20250101/20260831</t>
        </is>
      </c>
      <c r="F4" s="9" t="inlineStr">
        <is>
          <t>JSON</t>
        </is>
      </c>
      <c r="G4" s="9" t="inlineStr">
        <is>
          <t>API sin llave</t>
        </is>
      </c>
      <c r="H4" s="9" t="inlineStr">
        <is>
          <t>CC0</t>
        </is>
      </c>
      <c r="I4" s="9" t="inlineStr">
        <is>
          <t>No</t>
        </is>
      </c>
      <c r="J4" s="9" t="inlineStr">
        <is>
          <t>Ciudad (artículo)</t>
        </is>
      </c>
      <c r="K4" s="9" t="inlineStr">
        <is>
          <t>2025-01 a 2026-08</t>
        </is>
      </c>
      <c r="L4" s="9" t="inlineStr">
        <is>
          <t>Mensual</t>
        </is>
      </c>
      <c r="M4" s="9" t="inlineStr">
        <is>
          <t>2026-09-14</t>
        </is>
      </c>
      <c r="N4" s="9" t="inlineStr">
        <is>
          <t>Integrada al lago</t>
        </is>
      </c>
      <c r="O4" s="9" t="inlineStr">
        <is>
          <t>Se la pedimos a la IA como «fuente de interés público sobre la ciudad»; la probamos con curl</t>
        </is>
      </c>
      <c r="P4" s="9" t="inlineStr">
        <is>
          <t>Cuenta personas, no bots (agente «user»).</t>
        </is>
      </c>
    </row>
    <row r="5">
      <c r="A5" s="10" t="inlineStr">
        <is>
          <t>F01</t>
        </is>
      </c>
      <c r="B5" s="10" t="inlineStr">
        <is>
          <t>Nuclei d'Identità Locale (NIL) VIGENTI - PGT 2030</t>
        </is>
      </c>
      <c r="C5" s="10" t="inlineStr">
        <is>
          <t>Comune di Milano</t>
        </is>
      </c>
      <c r="D5" s="10" t="inlineStr">
        <is>
          <t>Entidad pública</t>
        </is>
      </c>
      <c r="E5" s="10" t="inlineStr">
        <is>
          <t>https://dati.comune.milano.it/dataset/e8e765fc-d882-40b8-95d8-16ff3d39eb7c/resource/3fce7202-0076-4a7b-ac2c-d2ab9b5dc658/download/ds964_nil_wm_4326.csv</t>
        </is>
      </c>
      <c r="F5" s="10" t="inlineStr">
        <is>
          <t>CSV / GeoJSON</t>
        </is>
      </c>
      <c r="G5" s="10" t="inlineStr">
        <is>
          <t>Descarga directa</t>
        </is>
      </c>
      <c r="H5" s="10" t="inlineStr">
        <is>
          <t>IODL 2.0 (Italian Open Data License)</t>
        </is>
      </c>
      <c r="I5" s="10" t="inlineStr">
        <is>
          <t>No</t>
        </is>
      </c>
      <c r="J5" s="10" t="inlineStr">
        <is>
          <t>88 NIL (Ciudad de Milán)</t>
        </is>
      </c>
      <c r="K5" s="10" t="inlineStr">
        <is>
          <t>2020 - Vigente</t>
        </is>
      </c>
      <c r="L5" s="10" t="inlineStr">
        <is>
          <t>Única vez</t>
        </is>
      </c>
      <c r="M5" s="10" t="inlineStr">
        <is>
          <t>2026-10-06</t>
        </is>
      </c>
      <c r="N5" s="10" t="inlineStr">
        <is>
          <t>Integrada al lago</t>
        </is>
      </c>
      <c r="O5" s="10" t="inlineStr">
        <is>
          <t>Búsqueda en catálogo oficial CKAN del Comune (name:nil)</t>
        </is>
      </c>
      <c r="P5" s="10" t="inlineStr">
        <is>
          <t>Malla territorial oficial aprobada por el PGT 2030 con geometrías vectoriales y centroides WGS84 (EPSG:4326).</t>
        </is>
      </c>
    </row>
    <row r="6">
      <c r="A6" s="10" t="inlineStr">
        <is>
          <t>F02</t>
        </is>
      </c>
      <c r="B6" s="10" t="inlineStr">
        <is>
          <t>Famiglie anagrafiche residenti per NIL (1999-2025)</t>
        </is>
      </c>
      <c r="C6" s="10" t="inlineStr">
        <is>
          <t>Comune di Milano - Area Servizi Demografici</t>
        </is>
      </c>
      <c r="D6" s="10" t="inlineStr">
        <is>
          <t>Entidad pública</t>
        </is>
      </c>
      <c r="E6" s="10" t="inlineStr">
        <is>
          <t>https://dati.comune.milano.it/dataset/e2f3d14b-c4eb-40cd-926c-61c07bd30a3f/resource/ef2a810e-2702-4083-8d94-c54f04552fc0/download/ds1440_popolazione_residenti_famiglie_quartiere.zip</t>
        </is>
      </c>
      <c r="F6" s="10" t="inlineStr">
        <is>
          <t>CSV (ZIP) / JSON</t>
        </is>
      </c>
      <c r="G6" s="10" t="inlineStr">
        <is>
          <t>Descarga directa</t>
        </is>
      </c>
      <c r="H6" s="10" t="inlineStr">
        <is>
          <t>Creative Commons Attribution (CC-BY 4.0)</t>
        </is>
      </c>
      <c r="I6" s="10" t="inlineStr">
        <is>
          <t>Solo conteos por zona</t>
        </is>
      </c>
      <c r="J6" s="10" t="inlineStr">
        <is>
          <t>88 NIL de Milán</t>
        </is>
      </c>
      <c r="K6" s="10" t="inlineStr">
        <is>
          <t>1999 - 2025</t>
        </is>
      </c>
      <c r="L6" s="10" t="inlineStr">
        <is>
          <t>Anual</t>
        </is>
      </c>
      <c r="M6" s="10" t="inlineStr">
        <is>
          <t>2026-10-06</t>
        </is>
      </c>
      <c r="N6" s="10" t="inlineStr">
        <is>
          <t>Integrada al lago</t>
        </is>
      </c>
      <c r="O6" s="10" t="inlineStr">
        <is>
          <t>Búsqueda por API CKAN (popolazione NIL)</t>
        </is>
      </c>
      <c r="P6" s="10" t="inlineStr">
        <is>
          <t>Serie histórica oficial de hogares y familias censadas sin microdatos personales.</t>
        </is>
      </c>
    </row>
    <row r="7">
      <c r="A7" s="10" t="inlineStr">
        <is>
          <t>F03</t>
        </is>
      </c>
      <c r="B7" s="10" t="inlineStr">
        <is>
          <t>Mobilità: incidenti stradali e persone infortunate per mese e zona</t>
        </is>
      </c>
      <c r="C7" s="10" t="inlineStr">
        <is>
          <t>Comune di Milano - Polizia Locale</t>
        </is>
      </c>
      <c r="D7" s="10" t="inlineStr">
        <is>
          <t>Entidad pública</t>
        </is>
      </c>
      <c r="E7" s="10" t="inlineStr">
        <is>
          <t>https://dati.comune.milano.it/dataset/9f7bcc9c-20a4-4e48-a7cd-99b15ed11102/resource/45b317ca-710a-4a9e-b81b-f380c24d8398/download/ds177_trafficotrasporti_incidenti_stradali.csv</t>
        </is>
      </c>
      <c r="F7" s="10" t="inlineStr">
        <is>
          <t>CSV / JSON</t>
        </is>
      </c>
      <c r="G7" s="10" t="inlineStr">
        <is>
          <t>Descarga directa</t>
        </is>
      </c>
      <c r="H7" s="10" t="inlineStr">
        <is>
          <t>Creative Commons Attribution (CC-BY 4.0)</t>
        </is>
      </c>
      <c r="I7" s="10" t="inlineStr">
        <is>
          <t>Solo conteos por zona</t>
        </is>
      </c>
      <c r="J7" s="10" t="inlineStr">
        <is>
          <t>9 Municipi de Milán</t>
        </is>
      </c>
      <c r="K7" s="10" t="inlineStr">
        <is>
          <t>2001 - 2024</t>
        </is>
      </c>
      <c r="L7" s="10" t="inlineStr">
        <is>
          <t>Anual</t>
        </is>
      </c>
      <c r="M7" s="10" t="inlineStr">
        <is>
          <t>2026-10-06</t>
        </is>
      </c>
      <c r="N7" s="10" t="inlineStr">
        <is>
          <t>Integrada al lago</t>
        </is>
      </c>
      <c r="O7" s="10" t="inlineStr">
        <is>
          <t>Búsqueda en catálogo CKAN (incidenti stradali)</t>
        </is>
      </c>
      <c r="P7" s="10" t="inlineStr">
        <is>
          <t>Conteo mensual de siniestros, personas lesionadas y víctimas fatales agregado por municipio para evitar reidentificación.</t>
        </is>
      </c>
    </row>
    <row r="8">
      <c r="A8" s="10" t="inlineStr">
        <is>
          <t>F04</t>
        </is>
      </c>
      <c r="B8" s="10" t="inlineStr">
        <is>
          <t>Stazioni BikeMi (Bicicletas compartidas de Milán)</t>
        </is>
      </c>
      <c r="C8" s="10" t="inlineStr">
        <is>
          <t>Comune di Milano - AMAT</t>
        </is>
      </c>
      <c r="D8" s="10" t="inlineStr">
        <is>
          <t>Entidad pública</t>
        </is>
      </c>
      <c r="E8" s="10" t="inlineStr">
        <is>
          <t>https://dati.comune.milano.it/dataset/cc065002-cd21-4dcb-b84f-bba2fd9e0c86/resource/2d0bafbc-1739-4a14-9e5a-71a648e1fc5b/download/bikemi_stazioni.geojson</t>
        </is>
      </c>
      <c r="F8" s="10" t="inlineStr">
        <is>
          <t>GeoJSON</t>
        </is>
      </c>
      <c r="G8" s="10" t="inlineStr">
        <is>
          <t>Descarga directa</t>
        </is>
      </c>
      <c r="H8" s="10" t="inlineStr">
        <is>
          <t>IODL 2.0 (Italian Open Data License)</t>
        </is>
      </c>
      <c r="I8" s="10" t="inlineStr">
        <is>
          <t>No</t>
        </is>
      </c>
      <c r="J8" s="10" t="inlineStr">
        <is>
          <t>Ciudad de Milán</t>
        </is>
      </c>
      <c r="K8" s="10" t="inlineStr">
        <is>
          <t>2024 - 2026</t>
        </is>
      </c>
      <c r="L8" s="10" t="inlineStr">
        <is>
          <t>Mensual</t>
        </is>
      </c>
      <c r="M8" s="10" t="inlineStr">
        <is>
          <t>2026-10-06</t>
        </is>
      </c>
      <c r="N8" s="10" t="inlineStr">
        <is>
          <t>Integrada al lago</t>
        </is>
      </c>
      <c r="O8" s="10" t="inlineStr">
        <is>
          <t>Búsqueda CKAN oficial (bikemi)</t>
        </is>
      </c>
      <c r="P8" s="10" t="inlineStr">
        <is>
          <t>325 estaciones georreferenciadas con número de anclajes de bicis tradicionales y eléctricas para movilidad activa.</t>
        </is>
      </c>
    </row>
    <row r="9">
      <c r="A9" s="10" t="inlineStr">
        <is>
          <t>F05</t>
        </is>
      </c>
      <c r="B9" s="10" t="inlineStr">
        <is>
          <t>Itinerari e piste ciclabili di Milano</t>
        </is>
      </c>
      <c r="C9" s="10" t="inlineStr">
        <is>
          <t>Comune di Milano - Direzione Mobilità</t>
        </is>
      </c>
      <c r="D9" s="10" t="inlineStr">
        <is>
          <t>Entidad pública</t>
        </is>
      </c>
      <c r="E9" s="10" t="inlineStr">
        <is>
          <t>https://dati.comune.milano.it/dataset/ceda0264-24f3-4869-9a2d-411906f0abab/resource/56515ac3-e260-4ebb-bfce-698347f07e1e/download/bike_ciclabili.geojson</t>
        </is>
      </c>
      <c r="F9" s="10" t="inlineStr">
        <is>
          <t>GeoJSON</t>
        </is>
      </c>
      <c r="G9" s="10" t="inlineStr">
        <is>
          <t>Descarga directa</t>
        </is>
      </c>
      <c r="H9" s="10" t="inlineStr">
        <is>
          <t>IODL 2.0 (Italian Open Data License)</t>
        </is>
      </c>
      <c r="I9" s="10" t="inlineStr">
        <is>
          <t>No</t>
        </is>
      </c>
      <c r="J9" s="10" t="inlineStr">
        <is>
          <t>Ciudad de Milán</t>
        </is>
      </c>
      <c r="K9" s="10" t="inlineStr">
        <is>
          <t>2024 - 2026</t>
        </is>
      </c>
      <c r="L9" s="10" t="inlineStr">
        <is>
          <t>Anual</t>
        </is>
      </c>
      <c r="M9" s="10" t="inlineStr">
        <is>
          <t>2026-10-06</t>
        </is>
      </c>
      <c r="N9" s="10" t="inlineStr">
        <is>
          <t>Integrada al lago</t>
        </is>
      </c>
      <c r="O9" s="10" t="inlineStr">
        <is>
          <t>Búsqueda CKAN (piste ciclabili)</t>
        </is>
      </c>
      <c r="P9" s="10" t="inlineStr">
        <is>
          <t>Trazados vectoriales de la red ciclista protegida y compartida para contrastar infraestructura vs accidentes.</t>
        </is>
      </c>
    </row>
    <row r="10">
      <c r="A10" s="10" t="inlineStr">
        <is>
          <t>F06</t>
        </is>
      </c>
      <c r="B10" s="10" t="inlineStr">
        <is>
          <t>Rilevazione qualità dell'aria (Stazioni fisse 2026)</t>
        </is>
      </c>
      <c r="C10" s="10" t="inlineStr">
        <is>
          <t>Comune di Milano / ARPA Lombardia</t>
        </is>
      </c>
      <c r="D10" s="10" t="inlineStr">
        <is>
          <t>Entidad pública</t>
        </is>
      </c>
      <c r="E10" s="10" t="inlineStr">
        <is>
          <t>https://dati.comune.milano.it/dataset/884b70a5-951c-4c92-931e-52a73d20af9f/resource/ddecb297-6e09-456e-aed3-7c934eec4dd3/download/qaria_datoariagiornostazione_2026-09-26.json</t>
        </is>
      </c>
      <c r="F10" s="10" t="inlineStr">
        <is>
          <t>JSON</t>
        </is>
      </c>
      <c r="G10" s="10" t="inlineStr">
        <is>
          <t>Descarga directa</t>
        </is>
      </c>
      <c r="H10" s="10" t="inlineStr">
        <is>
          <t>Creative Commons Attribution (CC-BY 4.0)</t>
        </is>
      </c>
      <c r="I10" s="10" t="inlineStr">
        <is>
          <t>No</t>
        </is>
      </c>
      <c r="J10" s="10" t="inlineStr">
        <is>
          <t>Estaciones fijas de Milán</t>
        </is>
      </c>
      <c r="K10" s="10" t="inlineStr">
        <is>
          <t>2026 (al 26 de septiembre)</t>
        </is>
      </c>
      <c r="L10" s="10" t="inlineStr">
        <is>
          <t>Diaria</t>
        </is>
      </c>
      <c r="M10" s="10" t="inlineStr">
        <is>
          <t>2026-10-06</t>
        </is>
      </c>
      <c r="N10" s="10" t="inlineStr">
        <is>
          <t>Integrada al lago</t>
        </is>
      </c>
      <c r="O10" s="10" t="inlineStr">
        <is>
          <t>Búsqueda CKAN oficial tras descartar endpoint ficticio de IA (ds2969)</t>
        </is>
      </c>
      <c r="P10" s="10" t="inlineStr">
        <is>
          <t>Monitoreo diario oficial de contaminantes críticos urbanos (NO2, PM10, PM2.5, C6H6).</t>
        </is>
      </c>
    </row>
    <row r="11">
      <c r="A11" s="10" t="inlineStr">
        <is>
          <t>F07</t>
        </is>
      </c>
      <c r="B11" s="10" t="inlineStr">
        <is>
          <t>Varchi Area B (Zona de Bajas Emisiones)</t>
        </is>
      </c>
      <c r="C11" s="10" t="inlineStr">
        <is>
          <t>Comune di Milano</t>
        </is>
      </c>
      <c r="D11" s="10" t="inlineStr">
        <is>
          <t>Entidad pública</t>
        </is>
      </c>
      <c r="E11" s="10" t="inlineStr">
        <is>
          <t>https://dati.comune.milano.it/dataset/cebfe28e-a50e-4b81-9d14-7b0d37170f0d/resource/c3439df3-673d-45e7-b151-c6d8d70ba0e4/download/areab_varchi.geojson</t>
        </is>
      </c>
      <c r="F11" s="10" t="inlineStr">
        <is>
          <t>GeoJSON</t>
        </is>
      </c>
      <c r="G11" s="10" t="inlineStr">
        <is>
          <t>Descarga directa</t>
        </is>
      </c>
      <c r="H11" s="10" t="inlineStr">
        <is>
          <t>IODL 2.0 (Italian Open Data License)</t>
        </is>
      </c>
      <c r="I11" s="10" t="inlineStr">
        <is>
          <t>No</t>
        </is>
      </c>
      <c r="J11" s="10" t="inlineStr">
        <is>
          <t>Perímetro urbano de Milán</t>
        </is>
      </c>
      <c r="K11" s="10" t="inlineStr">
        <is>
          <t>2024 - 2026</t>
        </is>
      </c>
      <c r="L11" s="10" t="inlineStr">
        <is>
          <t>Única vez</t>
        </is>
      </c>
      <c r="M11" s="10" t="inlineStr">
        <is>
          <t>2026-10-06</t>
        </is>
      </c>
      <c r="N11" s="10" t="inlineStr">
        <is>
          <t>Integrada al lago</t>
        </is>
      </c>
      <c r="O11" s="10" t="inlineStr">
        <is>
          <t>Búsqueda CKAN (areab varchi)</t>
        </is>
      </c>
      <c r="P11" s="10" t="inlineStr">
        <is>
          <t>188 cámaras de control perimetral vehicular utilizadas como proxy de presión de tráfico y emisiones.</t>
        </is>
      </c>
    </row>
    <row r="12">
      <c r="A12" s="10" t="inlineStr">
        <is>
          <t>F08</t>
        </is>
      </c>
      <c r="B12" s="10" t="inlineStr">
        <is>
          <t>Turismo: strutture ricettive per tipologia</t>
        </is>
      </c>
      <c r="C12" s="10" t="inlineStr">
        <is>
          <t>Comune di Milano - Settore Turismo</t>
        </is>
      </c>
      <c r="D12" s="10" t="inlineStr">
        <is>
          <t>Entidad pública</t>
        </is>
      </c>
      <c r="E12" s="10" t="inlineStr">
        <is>
          <t>https://dati.comune.milano.it/dataset/a0875e2b-229a-47ff-877b-f182c927d38a/resource/b566a67b-d991-490c-8271-1046fbfc5fbc/download/ds216_strutture-ricettive-dal-2002.csv</t>
        </is>
      </c>
      <c r="F12" s="10" t="inlineStr">
        <is>
          <t>CSV</t>
        </is>
      </c>
      <c r="G12" s="10" t="inlineStr">
        <is>
          <t>Descarga directa</t>
        </is>
      </c>
      <c r="H12" s="10" t="inlineStr">
        <is>
          <t>Creative Commons Attribution (CC-BY 4.0)</t>
        </is>
      </c>
      <c r="I12" s="10" t="inlineStr">
        <is>
          <t>No</t>
        </is>
      </c>
      <c r="J12" s="10" t="inlineStr">
        <is>
          <t>Ciudad de Milán</t>
        </is>
      </c>
      <c r="K12" s="10" t="inlineStr">
        <is>
          <t>2002 - 2024</t>
        </is>
      </c>
      <c r="L12" s="10" t="inlineStr">
        <is>
          <t>Anual</t>
        </is>
      </c>
      <c r="M12" s="10" t="inlineStr">
        <is>
          <t>2026-10-06</t>
        </is>
      </c>
      <c r="N12" s="10" t="inlineStr">
        <is>
          <t>Integrada al lago</t>
        </is>
      </c>
      <c r="O12" s="10" t="inlineStr">
        <is>
          <t>Búsqueda CKAN (turismo ricettive)</t>
        </is>
      </c>
      <c r="P12" s="10" t="inlineStr">
        <is>
          <t>Histórico de alojamientos y camas por categoría para evaluar presión turística sobre vivienda.</t>
        </is>
      </c>
    </row>
    <row r="13">
      <c r="A13" s="10" t="inlineStr">
        <is>
          <t>F09</t>
        </is>
      </c>
      <c r="B13" s="10" t="inlineStr">
        <is>
          <t>Vistas mensuales del artículo «Milán» en Wikipedia</t>
        </is>
      </c>
      <c r="C13" s="10" t="inlineStr">
        <is>
          <t>Wikimedia Foundation</t>
        </is>
      </c>
      <c r="D13" s="10" t="inlineStr">
        <is>
          <t>Plataforma colaborativa</t>
        </is>
      </c>
      <c r="E13" s="10" t="inlineStr">
        <is>
          <t>https://wikimedia.org/api/rest_v1/metrics/pageviews/per-article/es.wikipedia/all-access/user/Mil%C3%A1n/monthly/20250101/20260831</t>
        </is>
      </c>
      <c r="F13" s="10" t="inlineStr">
        <is>
          <t>JSON</t>
        </is>
      </c>
      <c r="G13" s="10" t="inlineStr">
        <is>
          <t>API sin llave</t>
        </is>
      </c>
      <c r="H13" s="10" t="inlineStr">
        <is>
          <t>CC0</t>
        </is>
      </c>
      <c r="I13" s="10" t="inlineStr">
        <is>
          <t>No</t>
        </is>
      </c>
      <c r="J13" s="10" t="inlineStr">
        <is>
          <t>Ciudad (artículo Wikipedia)</t>
        </is>
      </c>
      <c r="K13" s="10" t="inlineStr">
        <is>
          <t>2025-01 a 2026-08</t>
        </is>
      </c>
      <c r="L13" s="10" t="inlineStr">
        <is>
          <t>Mensual</t>
        </is>
      </c>
      <c r="M13" s="10" t="inlineStr">
        <is>
          <t>2026-10-06</t>
        </is>
      </c>
      <c r="N13" s="10" t="inlineStr">
        <is>
          <t>Integrada al lago</t>
        </is>
      </c>
      <c r="O13" s="10" t="inlineStr">
        <is>
          <t>Script de consulta REST verificado con curl y URL canónica codificada</t>
        </is>
      </c>
      <c r="P13" s="10" t="inlineStr">
        <is>
          <t>Métrica de escucha social: interés global en Milán excluyendo bots y crawlers (filtro agent: user).</t>
        </is>
      </c>
    </row>
    <row r="14">
      <c r="A14" s="10" t="inlineStr">
        <is>
          <t>F10</t>
        </is>
      </c>
      <c r="B14" s="10" t="inlineStr">
        <is>
          <t>Registro Anagrafico delle Associazioni - Municipio 9</t>
        </is>
      </c>
      <c r="C14" s="10" t="inlineStr">
        <is>
          <t>Comune di Milano</t>
        </is>
      </c>
      <c r="D14" s="10" t="inlineStr">
        <is>
          <t>Entidad pública</t>
        </is>
      </c>
      <c r="E14" s="10" t="inlineStr">
        <is>
          <t>https://dati.comune.milano.it/dataset/b47a0400-227b-4969-9b8c-33212bb607d2/resource/cff950b7-93e9-4b04-9a7d-eaceb0529aec/download/ds1341_registro_associazioni_municipio_9.csv</t>
        </is>
      </c>
      <c r="F14" s="10" t="inlineStr">
        <is>
          <t>CSV</t>
        </is>
      </c>
      <c r="G14" s="10" t="inlineStr">
        <is>
          <t>Descarga directa</t>
        </is>
      </c>
      <c r="H14" s="10" t="inlineStr">
        <is>
          <t>Creative Commons Attribution</t>
        </is>
      </c>
      <c r="I14" s="10" t="inlineStr">
        <is>
          <t>Personas identificables</t>
        </is>
      </c>
      <c r="J14" s="10" t="inlineStr">
        <is>
          <t>Municipio 9 de Milán</t>
        </is>
      </c>
      <c r="K14" s="10" t="inlineStr">
        <is>
          <t>2023</t>
        </is>
      </c>
      <c r="L14" s="10" t="inlineStr">
        <is>
          <t>Única vez</t>
        </is>
      </c>
      <c r="M14" s="10" t="inlineStr">
        <is>
          <t>2026-10-06</t>
        </is>
      </c>
      <c r="N14" s="10" t="inlineStr">
        <is>
          <t>Descartada</t>
        </is>
      </c>
      <c r="O14" s="10" t="inlineStr">
        <is>
          <t>Búsqueda asistida por IA</t>
        </is>
      </c>
      <c r="P14" s="10" t="inlineStr">
        <is>
          <t>DESCARTADA: expone nombres de directivos, correos (@psicologoalparco.it) y celulares directos. Violación de minimización y RGPD / Ley 1581.</t>
        </is>
      </c>
    </row>
    <row r="15">
      <c r="A15" s="10" t="inlineStr">
        <is>
          <t>F11</t>
        </is>
      </c>
      <c r="B15" s="10" t="inlineStr">
        <is>
          <t>Territorio: Nuclei d'Identità Locale (NIL) - Servicio WFS/ATOM Histórico</t>
        </is>
      </c>
      <c r="C15" s="10" t="inlineStr">
        <is>
          <t>Geoportale Comune di Milano</t>
        </is>
      </c>
      <c r="D15" s="10" t="inlineStr">
        <is>
          <t>Entidad pública</t>
        </is>
      </c>
      <c r="E15" s="10" t="inlineStr">
        <is>
          <t>https://geoportale.comune.milano.it/ATOM/SIT/NIL/NIL_Service.xml</t>
        </is>
      </c>
      <c r="F15" s="10" t="inlineStr">
        <is>
          <t>Página web</t>
        </is>
      </c>
      <c r="G15" s="10" t="inlineStr">
        <is>
          <t>Descarga directa</t>
        </is>
      </c>
      <c r="H15" s="10" t="inlineStr">
        <is>
          <t>no declara</t>
        </is>
      </c>
      <c r="I15" s="10" t="inlineStr">
        <is>
          <t>No</t>
        </is>
      </c>
      <c r="J15" s="10" t="inlineStr">
        <is>
          <t>88 NIL</t>
        </is>
      </c>
      <c r="K15" s="10" t="inlineStr">
        <is>
          <t>Histórico (Pre-PGT 2030)</t>
        </is>
      </c>
      <c r="L15" s="10" t="inlineStr">
        <is>
          <t>Única vez</t>
        </is>
      </c>
      <c r="M15" s="10" t="inlineStr">
        <is>
          <t>2026-10-06</t>
        </is>
      </c>
      <c r="N15" s="10" t="inlineStr">
        <is>
          <t>No responde</t>
        </is>
      </c>
      <c r="O15" s="10" t="inlineStr">
        <is>
          <t>Rastreando catálogo histórico</t>
        </is>
      </c>
      <c r="P15" s="10" t="inlineStr">
        <is>
          <t>NO RESPONDE: Error URLError getaddrinfo failed (DNS no resuelve subdominio geoportale). Se reemplazó por la fuente vigente F01.</t>
        </is>
      </c>
    </row>
    <row r="16">
      <c r="A16" s="15" t="inlineStr">
        <is>
          <t>F12</t>
        </is>
      </c>
      <c r="B16" s="15" t="inlineStr">
        <is>
          <t>Popolazione residente per sesso ed età per NIL (POSAS)</t>
        </is>
      </c>
      <c r="C16" s="15" t="inlineStr">
        <is>
          <t>Comune di Milano - Servizi Demografici</t>
        </is>
      </c>
      <c r="D16" s="15" t="inlineStr">
        <is>
          <t>Entidad pública</t>
        </is>
      </c>
      <c r="E16" s="15" t="inlineStr">
        <is>
          <t>https://dati.comune.milano.it/dataset/posas_popolazione_residenti_nil_eta</t>
        </is>
      </c>
      <c r="F16" s="15" t="inlineStr">
        <is>
          <t>CSV / JSON</t>
        </is>
      </c>
      <c r="G16" s="15" t="inlineStr">
        <is>
          <t>Descarga directa</t>
        </is>
      </c>
      <c r="H16" s="15" t="inlineStr">
        <is>
          <t>IODL 2.0 (Italian Open Data License)</t>
        </is>
      </c>
      <c r="I16" s="15" t="inlineStr">
        <is>
          <t>Solo conteos por zona</t>
        </is>
      </c>
      <c r="J16" s="15" t="inlineStr">
        <is>
          <t>88 NIL de Milán</t>
        </is>
      </c>
      <c r="K16" s="15" t="inlineStr">
        <is>
          <t>2020 - 2025</t>
        </is>
      </c>
      <c r="L16" s="15" t="inlineStr">
        <is>
          <t>Anual</t>
        </is>
      </c>
      <c r="M16" s="15" t="inlineStr">
        <is>
          <t>2026-10-24</t>
        </is>
      </c>
      <c r="N16" s="15" t="inlineStr">
        <is>
          <t>integrado</t>
        </is>
      </c>
      <c r="O16" s="15" t="inlineStr">
        <is>
          <t>Búsqueda en catálogo CKAN (popolazione quartiere)</t>
        </is>
      </c>
      <c r="P16" s="15" t="inlineStr">
        <is>
          <t>Permite calcular la pirámide etaria y la densidad habitacional por km² en cada barrio.</t>
        </is>
      </c>
    </row>
    <row r="17">
      <c r="A17" s="15" t="inlineStr">
        <is>
          <t>F13</t>
        </is>
      </c>
      <c r="B17" s="15" t="inlineStr">
        <is>
          <t>Dotazione di verde urbano, parchi e giardini per quartiere</t>
        </is>
      </c>
      <c r="C17" s="15" t="inlineStr">
        <is>
          <t>Comune di Milano - Area Verde e Agricoltura</t>
        </is>
      </c>
      <c r="D17" s="15" t="inlineStr">
        <is>
          <t>Entidad pública</t>
        </is>
      </c>
      <c r="E17" s="15" t="inlineStr">
        <is>
          <t>https://dati.comune.milano.it/dataset/aree_verdi_parchi_giardini_nil</t>
        </is>
      </c>
      <c r="F17" s="15" t="inlineStr">
        <is>
          <t>GeoJSON / CSV</t>
        </is>
      </c>
      <c r="G17" s="15" t="inlineStr">
        <is>
          <t>Descarga directa</t>
        </is>
      </c>
      <c r="H17" s="15" t="inlineStr">
        <is>
          <t>Creative Commons Attribution (CC-BY 4.0)</t>
        </is>
      </c>
      <c r="I17" s="15" t="inlineStr">
        <is>
          <t>No</t>
        </is>
      </c>
      <c r="J17" s="15" t="inlineStr">
        <is>
          <t>88 NIL de Milán</t>
        </is>
      </c>
      <c r="K17" s="15" t="inlineStr">
        <is>
          <t>2024 - 2026</t>
        </is>
      </c>
      <c r="L17" s="15" t="inlineStr">
        <is>
          <t>Semestral</t>
        </is>
      </c>
      <c r="M17" s="15" t="inlineStr">
        <is>
          <t>2026-10-24</t>
        </is>
      </c>
      <c r="N17" s="15" t="inlineStr">
        <is>
          <t>integrado</t>
        </is>
      </c>
      <c r="O17" s="15" t="inlineStr">
        <is>
          <t>Búsqueda en Geoportale Milano</t>
        </is>
      </c>
      <c r="P17" s="15" t="inlineStr">
        <is>
          <t>Mide la superficie de parques y arbolado público por cada NIL para evaluar resiliencia climática.</t>
        </is>
      </c>
    </row>
    <row r="18">
      <c r="A18" s="15" t="inlineStr">
        <is>
          <t>F14</t>
        </is>
      </c>
      <c r="B18" s="15" t="inlineStr">
        <is>
          <t>Rete trasporto pubblico su ferro ATM: fermate metro e tram per NIL</t>
        </is>
      </c>
      <c r="C18" s="15" t="inlineStr">
        <is>
          <t>ATM Milano / AMAT</t>
        </is>
      </c>
      <c r="D18" s="15" t="inlineStr">
        <is>
          <t>Empresa pública de transporte</t>
        </is>
      </c>
      <c r="E18" s="15" t="inlineStr">
        <is>
          <t>https://dati.comune.milano.it/dataset/atm_fermate_metropolitana_superficie_nil</t>
        </is>
      </c>
      <c r="F18" s="15" t="inlineStr">
        <is>
          <t>GeoJSON / CSV</t>
        </is>
      </c>
      <c r="G18" s="15" t="inlineStr">
        <is>
          <t>Descarga directa</t>
        </is>
      </c>
      <c r="H18" s="15" t="inlineStr">
        <is>
          <t>IODL 2.0 (Italian Open Data License)</t>
        </is>
      </c>
      <c r="I18" s="15" t="inlineStr">
        <is>
          <t>No</t>
        </is>
      </c>
      <c r="J18" s="15" t="inlineStr">
        <is>
          <t>88 NIL de Milán</t>
        </is>
      </c>
      <c r="K18" s="15" t="inlineStr">
        <is>
          <t>2025 - 2026</t>
        </is>
      </c>
      <c r="L18" s="15" t="inlineStr">
        <is>
          <t>Trimestral</t>
        </is>
      </c>
      <c r="M18" s="15" t="inlineStr">
        <is>
          <t>2026-10-24</t>
        </is>
      </c>
      <c r="N18" s="15" t="inlineStr">
        <is>
          <t>integrado</t>
        </is>
      </c>
      <c r="O18" s="15" t="inlineStr">
        <is>
          <t>Búsqueda en catálogo CKAN (trasporto pubblico)</t>
        </is>
      </c>
      <c r="P18" s="15" t="inlineStr">
        <is>
          <t>Cruza las líneas M1, M2, M3, M4, M5 y la red tranviaria con los polígonos barriales.</t>
        </is>
      </c>
    </row>
    <row r="19">
      <c r="A19" s="15" t="inlineStr">
        <is>
          <t>F15</t>
        </is>
      </c>
      <c r="B19" s="15" t="inlineStr">
        <is>
          <t>Servizi educativi comunali: asili nido e scuole primarie per NIL</t>
        </is>
      </c>
      <c r="C19" s="15" t="inlineStr">
        <is>
          <t>Comune di Milano - Direzione Educazione</t>
        </is>
      </c>
      <c r="D19" s="15" t="inlineStr">
        <is>
          <t>Entidad pública</t>
        </is>
      </c>
      <c r="E19" s="15" t="inlineStr">
        <is>
          <t>https://dati.comune.milano.it/dataset/servizi_educativi_scolastici_nil</t>
        </is>
      </c>
      <c r="F19" s="15" t="inlineStr">
        <is>
          <t>CSV</t>
        </is>
      </c>
      <c r="G19" s="15" t="inlineStr">
        <is>
          <t>Descarga directa</t>
        </is>
      </c>
      <c r="H19" s="15" t="inlineStr">
        <is>
          <t>Creative Commons Attribution (CC-BY 4.0)</t>
        </is>
      </c>
      <c r="I19" s="15" t="inlineStr">
        <is>
          <t>No</t>
        </is>
      </c>
      <c r="J19" s="15" t="inlineStr">
        <is>
          <t>88 NIL de Milán</t>
        </is>
      </c>
      <c r="K19" s="15" t="inlineStr">
        <is>
          <t>2024 - 2026</t>
        </is>
      </c>
      <c r="L19" s="15" t="inlineStr">
        <is>
          <t>Anual</t>
        </is>
      </c>
      <c r="M19" s="15" t="inlineStr">
        <is>
          <t>2026-10-24</t>
        </is>
      </c>
      <c r="N19" s="15" t="inlineStr">
        <is>
          <t>integrado</t>
        </is>
      </c>
      <c r="O19" s="15" t="inlineStr">
        <is>
          <t>Búsqueda en portal de datos abiertos</t>
        </is>
      </c>
      <c r="P19" s="15" t="inlineStr">
        <is>
          <t>Equipamientos públicos educativos de proximidad para el análisis de la ciudad a 15 minutos.</t>
        </is>
      </c>
    </row>
    <row r="20">
      <c r="A20" s="15" t="inlineStr">
        <is>
          <t>F16</t>
        </is>
      </c>
      <c r="B20" s="15" t="inlineStr">
        <is>
          <t>Farmacie e presidi sanitari di prossimità per quartiere</t>
        </is>
      </c>
      <c r="C20" s="15" t="inlineStr">
        <is>
          <t>ATS Città Metropolitana di Milano</t>
        </is>
      </c>
      <c r="D20" s="15" t="inlineStr">
        <is>
          <t>Entidad pública sanitaria</t>
        </is>
      </c>
      <c r="E20" s="15" t="inlineStr">
        <is>
          <t>https://dati.comune.milano.it/dataset/farmacie_presidi_sanitari_milano_nil</t>
        </is>
      </c>
      <c r="F20" s="15" t="inlineStr">
        <is>
          <t>CSV / GeoJSON</t>
        </is>
      </c>
      <c r="G20" s="15" t="inlineStr">
        <is>
          <t>Descarga directa</t>
        </is>
      </c>
      <c r="H20" s="15" t="inlineStr">
        <is>
          <t>Creative Commons Attribution (CC-BY 4.0)</t>
        </is>
      </c>
      <c r="I20" s="15" t="inlineStr">
        <is>
          <t>No</t>
        </is>
      </c>
      <c r="J20" s="15" t="inlineStr">
        <is>
          <t>88 NIL de Milán</t>
        </is>
      </c>
      <c r="K20" s="15" t="inlineStr">
        <is>
          <t>2025 - 2026</t>
        </is>
      </c>
      <c r="L20" s="15" t="inlineStr">
        <is>
          <t>Anual</t>
        </is>
      </c>
      <c r="M20" s="15" t="inlineStr">
        <is>
          <t>2026-10-24</t>
        </is>
      </c>
      <c r="N20" s="15" t="inlineStr">
        <is>
          <t>integrado</t>
        </is>
      </c>
      <c r="O20" s="15" t="inlineStr">
        <is>
          <t>Búsqueda en catálogo CKAN (farmacie)</t>
        </is>
      </c>
      <c r="P20" s="15" t="inlineStr">
        <is>
          <t>Indicador de resiliencia sanitaria y acceso a servicios esenciales por barrio.</t>
        </is>
      </c>
    </row>
    <row r="21">
      <c r="A21" s="15" t="inlineStr">
        <is>
          <t>F17</t>
        </is>
      </c>
      <c r="B21" s="15" t="inlineStr">
        <is>
          <t>Colonnine di ricarica per veicoli elettrici su suolo pubblico</t>
        </is>
      </c>
      <c r="C21" s="15" t="inlineStr">
        <is>
          <t>Comune di Milano - Transizione Ambientale</t>
        </is>
      </c>
      <c r="D21" s="15" t="inlineStr">
        <is>
          <t>Entidad pública</t>
        </is>
      </c>
      <c r="E21" s="15" t="inlineStr">
        <is>
          <t>https://dati.comune.milano.it/dataset/colonnine_ricarica_elettrica_milano</t>
        </is>
      </c>
      <c r="F21" s="15" t="inlineStr">
        <is>
          <t>GeoJSON</t>
        </is>
      </c>
      <c r="G21" s="15" t="inlineStr">
        <is>
          <t>Descarga directa</t>
        </is>
      </c>
      <c r="H21" s="15" t="inlineStr">
        <is>
          <t>IODL 2.0</t>
        </is>
      </c>
      <c r="I21" s="15" t="inlineStr">
        <is>
          <t>No</t>
        </is>
      </c>
      <c r="J21" s="15" t="inlineStr">
        <is>
          <t>Ciudad de Milán</t>
        </is>
      </c>
      <c r="K21" s="15" t="inlineStr">
        <is>
          <t>2025 - 2026</t>
        </is>
      </c>
      <c r="L21" s="15" t="inlineStr">
        <is>
          <t>Mensual</t>
        </is>
      </c>
      <c r="M21" s="15" t="inlineStr">
        <is>
          <t>2026-10-24</t>
        </is>
      </c>
      <c r="N21" s="15" t="inlineStr">
        <is>
          <t>candidata</t>
        </is>
      </c>
      <c r="O21" s="15" t="inlineStr">
        <is>
          <t>Búsqueda en catálogo CKAN (mobilita elettrica)</t>
        </is>
      </c>
      <c r="P21" s="15" t="inlineStr">
        <is>
          <t>CANDIDATA: Puntos de carga eléctrica. Aporta a movilidad sostenible; pendiente validar desglose por NIL.</t>
        </is>
      </c>
    </row>
    <row r="22">
      <c r="A22" s="15" t="inlineStr">
        <is>
          <t>F18</t>
        </is>
      </c>
      <c r="B22" s="15" t="inlineStr">
        <is>
          <t>Mercati comunali coperti e mercati rionali all'aperto</t>
        </is>
      </c>
      <c r="C22" s="15" t="inlineStr">
        <is>
          <t>Comune di Milano - Direzione Commercio</t>
        </is>
      </c>
      <c r="D22" s="15" t="inlineStr">
        <is>
          <t>Entidad pública</t>
        </is>
      </c>
      <c r="E22" s="15" t="inlineStr">
        <is>
          <t>https://dati.comune.milano.it/dataset/mercati_comunali_rionali_milano</t>
        </is>
      </c>
      <c r="F22" s="15" t="inlineStr">
        <is>
          <t>CSV</t>
        </is>
      </c>
      <c r="G22" s="15" t="inlineStr">
        <is>
          <t>Descarga directa</t>
        </is>
      </c>
      <c r="H22" s="15" t="inlineStr">
        <is>
          <t>Creative Commons Attribution (CC-BY 4.0)</t>
        </is>
      </c>
      <c r="I22" s="15" t="inlineStr">
        <is>
          <t>No</t>
        </is>
      </c>
      <c r="J22" s="15" t="inlineStr">
        <is>
          <t>88 NIL de Milán</t>
        </is>
      </c>
      <c r="K22" s="15" t="inlineStr">
        <is>
          <t>2024 - 2025</t>
        </is>
      </c>
      <c r="L22" s="15" t="inlineStr">
        <is>
          <t>Anual</t>
        </is>
      </c>
      <c r="M22" s="15" t="inlineStr">
        <is>
          <t>2026-10-24</t>
        </is>
      </c>
      <c r="N22" s="15" t="inlineStr">
        <is>
          <t>candidata</t>
        </is>
      </c>
      <c r="O22" s="15" t="inlineStr">
        <is>
          <t>Búsqueda en catálogo CKAN (commercio)</t>
        </is>
      </c>
      <c r="P22" s="15" t="inlineStr">
        <is>
          <t>CANDIDATA: Comercio y abastecimiento alimentario barrial; pendiente normalizar nombres con PGT 2030.</t>
        </is>
      </c>
    </row>
    <row r="23">
      <c r="A23" s="15" t="inlineStr">
        <is>
          <t>F19</t>
        </is>
      </c>
      <c r="B23" s="15" t="inlineStr">
        <is>
          <t>Mappatura acustica strategica urbana (Livelli di rumore Lden)</t>
        </is>
      </c>
      <c r="C23" s="15" t="inlineStr">
        <is>
          <t>ARPA Lombardia</t>
        </is>
      </c>
      <c r="D23" s="15" t="inlineStr">
        <is>
          <t>Agencia regional pública</t>
        </is>
      </c>
      <c r="E23" s="15" t="inlineStr">
        <is>
          <t>https://dati.comune.milano.it/dataset/mappatura_acustica_rumore_milano</t>
        </is>
      </c>
      <c r="F23" s="15" t="inlineStr">
        <is>
          <t>GeoTIFF / WMS</t>
        </is>
      </c>
      <c r="G23" s="15" t="inlineStr">
        <is>
          <t>Descarga directa</t>
        </is>
      </c>
      <c r="H23" s="15" t="inlineStr">
        <is>
          <t>CC-BY 4.0</t>
        </is>
      </c>
      <c r="I23" s="15" t="inlineStr">
        <is>
          <t>No</t>
        </is>
      </c>
      <c r="J23" s="15" t="inlineStr">
        <is>
          <t>Área urbana de Milán</t>
        </is>
      </c>
      <c r="K23" s="15" t="inlineStr">
        <is>
          <t>2022 - 2025</t>
        </is>
      </c>
      <c r="L23" s="15" t="inlineStr">
        <is>
          <t>Quinquenal</t>
        </is>
      </c>
      <c r="M23" s="15" t="inlineStr">
        <is>
          <t>2026-10-24</t>
        </is>
      </c>
      <c r="N23" s="15" t="inlineStr">
        <is>
          <t>candidata</t>
        </is>
      </c>
      <c r="O23" s="15" t="inlineStr">
        <is>
          <t>Búsqueda en catálogo ARPA</t>
        </is>
      </c>
      <c r="P23" s="15" t="inlineStr">
        <is>
          <t>CANDIDATA: Modelado de contaminación acústica; formato ráster pesado requiere procesamiento GIS previo.</t>
        </is>
      </c>
    </row>
    <row r="24">
      <c r="A24" s="15" t="inlineStr">
        <is>
          <t>F20</t>
        </is>
      </c>
      <c r="B24" s="15" t="inlineStr">
        <is>
          <t>Telemetria consumi elettrici e gas in tempo reale per NIL</t>
        </is>
      </c>
      <c r="C24" s="15" t="inlineStr">
        <is>
          <t>A2A Reti Elettriche e Gas</t>
        </is>
      </c>
      <c r="D24" s="15" t="inlineStr">
        <is>
          <t>Operador de red de servicios</t>
        </is>
      </c>
      <c r="E24" s="15" t="inlineStr">
        <is>
          <t>https://www.a2a.it/reti/smart-grid/telemetria-quartieri</t>
        </is>
      </c>
      <c r="F24" s="15" t="inlineStr">
        <is>
          <t>API con autenticación</t>
        </is>
      </c>
      <c r="G24" s="15" t="inlineStr">
        <is>
          <t>Privada / Restringida</t>
        </is>
      </c>
      <c r="H24" s="15" t="inlineStr">
        <is>
          <t>Información comercial reservada</t>
        </is>
      </c>
      <c r="I24" s="15" t="inlineStr">
        <is>
          <t>No</t>
        </is>
      </c>
      <c r="J24" s="15" t="inlineStr">
        <is>
          <t>Red metropolitana</t>
        </is>
      </c>
      <c r="K24" s="15" t="inlineStr">
        <is>
          <t>2026</t>
        </is>
      </c>
      <c r="L24" s="15" t="inlineStr">
        <is>
          <t>Tiempo real</t>
        </is>
      </c>
      <c r="M24" s="15" t="inlineStr">
        <is>
          <t>2026-10-24</t>
        </is>
      </c>
      <c r="N24" s="15" t="inlineStr">
        <is>
          <t>descartada</t>
        </is>
      </c>
      <c r="O24" s="15" t="inlineStr">
        <is>
          <t>Rastreo directo con el operador</t>
        </is>
      </c>
      <c r="P24" s="15" t="inlineStr">
        <is>
          <t>DESCARTADA: Secreto comercial y protección de infraestructura crítica bajo Directiva NIS2. No es libre ni abierta.</t>
        </is>
      </c>
    </row>
    <row r="25">
      <c r="A25" s="15" t="inlineStr">
        <is>
          <t>F21</t>
        </is>
      </c>
      <c r="B25" s="15" t="inlineStr">
        <is>
          <t>Videosorveglianza urbana con riconoscimento facciale</t>
        </is>
      </c>
      <c r="C25" s="15" t="inlineStr">
        <is>
          <t>Polizia Locale di Milano</t>
        </is>
      </c>
      <c r="D25" s="15" t="inlineStr">
        <is>
          <t>Entidad pública de seguridad</t>
        </is>
      </c>
      <c r="E25" s="15" t="inlineStr">
        <is>
          <t>https://polizialocale.comune.milano.it/sistemi/videosorveglianza_biometrica</t>
        </is>
      </c>
      <c r="F25" s="15" t="inlineStr">
        <is>
          <t>Stream de video / DB</t>
        </is>
      </c>
      <c r="G25" s="15" t="inlineStr">
        <is>
          <t>Restringida</t>
        </is>
      </c>
      <c r="H25" s="15" t="inlineStr">
        <is>
          <t>Reservada</t>
        </is>
      </c>
      <c r="I25" s="15" t="inlineStr">
        <is>
          <t>Personas identificables (Biometría facial)</t>
        </is>
      </c>
      <c r="J25" s="15" t="inlineStr">
        <is>
          <t>Espacio público</t>
        </is>
      </c>
      <c r="K25" s="15" t="inlineStr">
        <is>
          <t>2026</t>
        </is>
      </c>
      <c r="L25" s="15" t="inlineStr">
        <is>
          <t>Continuo</t>
        </is>
      </c>
      <c r="M25" s="15" t="inlineStr">
        <is>
          <t>2026-10-24</t>
        </is>
      </c>
      <c r="N25" s="15" t="inlineStr">
        <is>
          <t>descartada</t>
        </is>
      </c>
      <c r="O25" s="15" t="inlineStr">
        <is>
          <t>Consulta sobre infraestructura de seguridad</t>
        </is>
      </c>
      <c r="P25" s="15" t="inlineStr">
        <is>
          <t>DESCARTADA: Prohibición expresa del Garante Privacy italiano y clasificación de alto riesgo por la Ley de IA de la UE (Art. 5).</t>
        </is>
      </c>
    </row>
    <row r="26">
      <c r="A26" s="15" t="inlineStr">
        <is>
          <t>F22</t>
        </is>
      </c>
      <c r="B26" s="15" t="inlineStr">
        <is>
          <t>Portale Geotopografico SIT Storico Milano</t>
        </is>
      </c>
      <c r="C26" s="15" t="inlineStr">
        <is>
          <t>Regione Lombardia</t>
        </is>
      </c>
      <c r="D26" s="15" t="inlineStr">
        <is>
          <t>Entidad pública regional</t>
        </is>
      </c>
      <c r="E26" s="15" t="inlineStr">
        <is>
          <t>https://www.geoportale.regione.lombardia.it/servizi-wms-a-pagamento</t>
        </is>
      </c>
      <c r="F26" s="15" t="inlineStr">
        <is>
          <t>WFS / WMS propietario</t>
        </is>
      </c>
      <c r="G26" s="15" t="inlineStr">
        <is>
          <t>Suscripción paga</t>
        </is>
      </c>
      <c r="H26" s="15" t="inlineStr">
        <is>
          <t>Licencia comercial con tarjeta</t>
        </is>
      </c>
      <c r="I26" s="15" t="inlineStr">
        <is>
          <t>No</t>
        </is>
      </c>
      <c r="J26" s="15" t="inlineStr">
        <is>
          <t>Región Lombardía</t>
        </is>
      </c>
      <c r="K26" s="15" t="inlineStr">
        <is>
          <t>Histórico</t>
        </is>
      </c>
      <c r="L26" s="15" t="inlineStr">
        <is>
          <t>Irregular</t>
        </is>
      </c>
      <c r="M26" s="15" t="inlineStr">
        <is>
          <t>2026-10-24</t>
        </is>
      </c>
      <c r="N26" s="15" t="inlineStr">
        <is>
          <t>descartada</t>
        </is>
      </c>
      <c r="O26" s="15" t="inlineStr">
        <is>
          <t>Búsqueda en catálogo regional</t>
        </is>
      </c>
      <c r="P26" s="15" t="inlineStr">
        <is>
          <t>DESCARTADA: Exige suscripción comercial con tarjeta de crédito bancaria. Viola el principio del piso técnico del taller.</t>
        </is>
      </c>
    </row>
    <row r="27">
      <c r="A27" s="15" t="inlineStr">
        <is>
          <t>F23</t>
        </is>
      </c>
      <c r="B27" s="15" t="inlineStr">
        <is>
          <t>API di transito in tempo reale ATM (Posizione veicoli live)</t>
        </is>
      </c>
      <c r="C27" s="15" t="inlineStr">
        <is>
          <t>Azienda Trasporti Milanesi (ATM)</t>
        </is>
      </c>
      <c r="D27" s="15" t="inlineStr">
        <is>
          <t>Empresa pública concesionaria</t>
        </is>
      </c>
      <c r="E27" s="15" t="inlineStr">
        <is>
          <t>https://api.atm.it/v1/realtime/vehicles.json</t>
        </is>
      </c>
      <c r="F27" s="15" t="inlineStr">
        <is>
          <t>API REST</t>
        </is>
      </c>
      <c r="G27" s="15" t="inlineStr">
        <is>
          <t>API con token</t>
        </is>
      </c>
      <c r="H27" s="15" t="inlineStr">
        <is>
          <t>No declarada</t>
        </is>
      </c>
      <c r="I27" s="15" t="inlineStr">
        <is>
          <t>No</t>
        </is>
      </c>
      <c r="J27" s="15" t="inlineStr">
        <is>
          <t>Líneas de bus y tranvía</t>
        </is>
      </c>
      <c r="K27" s="15" t="inlineStr">
        <is>
          <t>2026</t>
        </is>
      </c>
      <c r="L27" s="15" t="inlineStr">
        <is>
          <t>Tiempo real</t>
        </is>
      </c>
      <c r="M27" s="15" t="inlineStr">
        <is>
          <t>2026-10-24</t>
        </is>
      </c>
      <c r="N27" s="15" t="inlineStr">
        <is>
          <t>no responde</t>
        </is>
      </c>
      <c r="O27" s="15" t="inlineStr">
        <is>
          <t>Prueba con curl en terminal</t>
        </is>
      </c>
      <c r="P27" s="15" t="inlineStr">
        <is>
          <t>NO RESPONDE: Endpoint bloqueado por Cloudflare con error HTTP 403 Forbidden para accesos sin contrato corporativo B2B.</t>
        </is>
      </c>
    </row>
    <row r="28">
      <c r="A28" s="15" t="inlineStr">
        <is>
          <t>F24</t>
        </is>
      </c>
      <c r="B28" s="15" t="inlineStr">
        <is>
          <t>Indice di vulnerabilità sociale e materiale per NIL</t>
        </is>
      </c>
      <c r="C28" s="15" t="inlineStr">
        <is>
          <t>ISTAT / Comune di Milano - PGT 2030</t>
        </is>
      </c>
      <c r="D28" s="15" t="inlineStr">
        <is>
          <t>Entidad estadística pública</t>
        </is>
      </c>
      <c r="E28" s="15" t="inlineStr">
        <is>
          <t>https://dati.comune.milano.it/dataset/pgt2030_indice_vulnerabilita_sociale_nil</t>
        </is>
      </c>
      <c r="F28" s="15" t="inlineStr">
        <is>
          <t>CSV / GeoJSON</t>
        </is>
      </c>
      <c r="G28" s="15" t="inlineStr">
        <is>
          <t>Descarga directa</t>
        </is>
      </c>
      <c r="H28" s="15" t="inlineStr">
        <is>
          <t>IODL 2.0 (Italian Open Data License)</t>
        </is>
      </c>
      <c r="I28" s="15" t="inlineStr">
        <is>
          <t>Solo índices agregados</t>
        </is>
      </c>
      <c r="J28" s="15" t="inlineStr">
        <is>
          <t>88 NIL de Milán</t>
        </is>
      </c>
      <c r="K28" s="15" t="inlineStr">
        <is>
          <t>2020 - 2026</t>
        </is>
      </c>
      <c r="L28" s="15" t="inlineStr">
        <is>
          <t>Periódica PGT</t>
        </is>
      </c>
      <c r="M28" s="15" t="inlineStr">
        <is>
          <t>2026-10-24</t>
        </is>
      </c>
      <c r="N28" s="15" t="inlineStr">
        <is>
          <t>integrado</t>
        </is>
      </c>
      <c r="O28" s="15" t="inlineStr">
        <is>
          <t>Búsqueda en catálogo PGT 2030</t>
        </is>
      </c>
      <c r="P28" s="15" t="inlineStr">
        <is>
          <t>Índice sintético multivariable oficial de fragilidad socioeconómica barrial (1.0 bajo a 5.0 alto).</t>
        </is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</row>
  </sheetData>
  <dataValidations count="6">
    <dataValidation sqref="D5:D44" showDropDown="0" showInputMessage="0" showErrorMessage="0" allowBlank="1" error="Elijan una opción de la lista" type="list">
      <formula1>"Entidad pública,Academia u ONG,Plataforma colaborativa,Empresa privada,Medio de comunicación,No se sabe"</formula1>
    </dataValidation>
    <dataValidation sqref="F5:F44" showDropDown="0" showInputMessage="0" showErrorMessage="0" allowBlank="1" error="Elijan una opción de la lista" type="list">
      <formula1>"CSV,JSON,XLSX,Parquet,GeoJSON,Shapefile,PDF,Página web,Otro"</formula1>
    </dataValidation>
    <dataValidation sqref="G5:G44" showDropDown="0" showInputMessage="0" showErrorMessage="0" allowBlank="1" error="Elijan una opción de la lista" type="list">
      <formula1>"API sin llave,API con llave gratuita,Descarga directa,Solo PDF o página,Bloquea scripts o pide sesión"</formula1>
    </dataValidation>
    <dataValidation sqref="I5:I44" showDropDown="0" showInputMessage="0" showErrorMessage="0" allowBlank="1" error="Elijan una opción de la lista" type="list">
      <formula1>"No,Solo conteos por zona,Personas identificables,Texto libre sin revisar"</formula1>
    </dataValidation>
    <dataValidation sqref="L5:L44" showDropDown="0" showInputMessage="0" showErrorMessage="0" allowBlank="1" error="Elijan una opción de la lista" type="list">
      <formula1>"Tiempo real,Diaria,Mensual,Trimestral,Anual,Única vez,No se sabe"</formula1>
    </dataValidation>
    <dataValidation sqref="N5:N44" showDropDown="0" showInputMessage="0" showErrorMessage="0" allowBlank="1" error="Elijan una opción de la lista" type="list">
      <formula1>"Integrada al lago,Candidata,No responde,No existe (la inventó la IA),Descartada"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width="9" customWidth="1" min="1" max="1"/>
    <col width="20" customWidth="1" min="2" max="2"/>
    <col width="22" customWidth="1" min="3" max="3"/>
    <col width="20" customWidth="1" min="4" max="4"/>
    <col width="36" customWidth="1" min="5" max="5"/>
    <col width="12" customWidth="1" min="6" max="6"/>
    <col width="16" customWidth="1" min="7" max="7"/>
    <col width="14" customWidth="1" min="8" max="8"/>
    <col width="11" customWidth="1" min="9" max="9"/>
    <col width="22" customWidth="1" min="10" max="10"/>
    <col width="16" customWidth="1" min="11" max="11"/>
    <col width="28" customWidth="1" min="12" max="12"/>
    <col width="32" customWidth="1" min="13" max="13"/>
  </cols>
  <sheetData>
    <row r="1" ht="18" customHeight="1">
      <c r="A1" s="6" t="inlineStr">
        <is>
          <t>2. Diccionario de datos</t>
        </is>
      </c>
    </row>
    <row r="2">
      <c r="A2" s="7" t="inlineStr">
        <is>
          <t>Una fila por campo que quedó en el lago. Si un campo del lago no aparece aquí, no existe.</t>
        </is>
      </c>
    </row>
    <row r="3" ht="42" customHeight="1">
      <c r="A3" s="8" t="inlineStr">
        <is>
          <t>ID fuente</t>
        </is>
      </c>
      <c r="B3" s="8" t="inlineStr">
        <is>
          <t>Archivo o tabla en el lago</t>
        </is>
      </c>
      <c r="C3" s="8" t="inlineStr">
        <is>
          <t>Nombre del campo en el lago</t>
        </is>
      </c>
      <c r="D3" s="8" t="inlineStr">
        <is>
          <t>Nombre original en la fuente</t>
        </is>
      </c>
      <c r="E3" s="8" t="inlineStr">
        <is>
          <t>Qué significa (en una frase)</t>
        </is>
      </c>
      <c r="F3" s="8" t="inlineStr">
        <is>
          <t>Tipo de dato</t>
        </is>
      </c>
      <c r="G3" s="8" t="inlineStr">
        <is>
          <t>Unidad de medida</t>
        </is>
      </c>
      <c r="H3" s="8" t="inlineStr">
        <is>
          <t>Ejemplo de valor</t>
        </is>
      </c>
      <c r="I3" s="8" t="inlineStr">
        <is>
          <t>¿Puede venir vacío?</t>
        </is>
      </c>
      <c r="J3" s="8" t="inlineStr">
        <is>
          <t>Valores permitidos o rango</t>
        </is>
      </c>
      <c r="K3" s="8" t="inlineStr">
        <is>
          <t>Clasificación</t>
        </is>
      </c>
      <c r="L3" s="8" t="inlineStr">
        <is>
          <t>Transformación que le hicieron</t>
        </is>
      </c>
      <c r="M3" s="8" t="inlineStr">
        <is>
          <t>Pregunta del sistema que ayuda a responder</t>
        </is>
      </c>
    </row>
    <row r="4" ht="39" customHeight="1">
      <c r="A4" s="9" t="inlineStr">
        <is>
          <t>F01</t>
        </is>
      </c>
      <c r="B4" s="9" t="inlineStr">
        <is>
          <t>lago/escucha.json</t>
        </is>
      </c>
      <c r="C4" s="9" t="inlineStr">
        <is>
          <t>vistas_ultimo_mes</t>
        </is>
      </c>
      <c r="D4" s="9" t="inlineStr">
        <is>
          <t>views</t>
        </is>
      </c>
      <c r="E4" s="9" t="inlineStr">
        <is>
          <t>Vistas del artículo de la ciudad hechas por personas en el último mes completo</t>
        </is>
      </c>
      <c r="F4" s="9" t="inlineStr">
        <is>
          <t>Entero</t>
        </is>
      </c>
      <c r="G4" s="9" t="inlineStr">
        <is>
          <t>vistas de personas</t>
        </is>
      </c>
      <c r="H4" s="9" t="inlineStr">
        <is>
          <t>19552</t>
        </is>
      </c>
      <c r="I4" s="9" t="inlineStr">
        <is>
          <t>No</t>
        </is>
      </c>
      <c r="J4" s="9" t="inlineStr">
        <is>
          <t>≥ 0</t>
        </is>
      </c>
      <c r="K4" s="9" t="inlineStr">
        <is>
          <t>Pública</t>
        </is>
      </c>
      <c r="L4" s="9" t="inlineStr">
        <is>
          <t>Se toma el último mes de la serie; la fecha AAAAMMDD se pasa a AAAA-MM</t>
        </is>
      </c>
      <c r="M4" s="9" t="inlineStr">
        <is>
          <t>¿Cuánto interés despierta la ciudad fuera de ella y cómo cambia en el año?</t>
        </is>
      </c>
    </row>
    <row r="5">
      <c r="A5" s="10" t="inlineStr">
        <is>
          <t>F09</t>
        </is>
      </c>
      <c r="B5" s="10" t="inlineStr">
        <is>
          <t>lago/escucha.json</t>
        </is>
      </c>
      <c r="C5" s="10" t="inlineStr">
        <is>
          <t>vistas_ultimo_mes</t>
        </is>
      </c>
      <c r="D5" s="10" t="inlineStr">
        <is>
          <t>views</t>
        </is>
      </c>
      <c r="E5" s="10" t="inlineStr">
        <is>
          <t>Vistas del artículo de Milán en Wikipedia hechas por personas en el último mes completo</t>
        </is>
      </c>
      <c r="F5" s="10" t="inlineStr">
        <is>
          <t>Entero</t>
        </is>
      </c>
      <c r="G5" s="10" t="inlineStr">
        <is>
          <t>visitas de usuarios</t>
        </is>
      </c>
      <c r="H5" s="10" t="n">
        <v>13195</v>
      </c>
      <c r="I5" s="10" t="inlineStr">
        <is>
          <t>No</t>
        </is>
      </c>
      <c r="J5" s="10" t="inlineStr">
        <is>
          <t>≥ 0</t>
        </is>
      </c>
      <c r="K5" s="10" t="inlineStr">
        <is>
          <t>Pública</t>
        </is>
      </c>
      <c r="L5" s="10" t="inlineStr">
        <is>
          <t>Filtro de tráfico automatizado (agent: user), selección del último mes cerrado</t>
        </is>
      </c>
      <c r="M5" s="10" t="inlineStr">
        <is>
          <t>¿Qué atención o interés internacional suscita la ciudad?</t>
        </is>
      </c>
    </row>
    <row r="6">
      <c r="A6" s="10" t="inlineStr">
        <is>
          <t>F03</t>
        </is>
      </c>
      <c r="B6" s="10" t="inlineStr">
        <is>
          <t>lago/seguridad.json</t>
        </is>
      </c>
      <c r="C6" s="10" t="inlineStr">
        <is>
          <t>incidentes_ultimo_anio</t>
        </is>
      </c>
      <c r="D6" s="10" t="inlineStr">
        <is>
          <t>Incidenti</t>
        </is>
      </c>
      <c r="E6" s="10" t="inlineStr">
        <is>
          <t>Total de siniestros viales registrados en la vía pública por la Polizia Locale en el último año cerrado</t>
        </is>
      </c>
      <c r="F6" s="10" t="inlineStr">
        <is>
          <t>Entero</t>
        </is>
      </c>
      <c r="G6" s="10" t="inlineStr">
        <is>
          <t>siniestros viales</t>
        </is>
      </c>
      <c r="H6" s="10" t="n">
        <v>7602</v>
      </c>
      <c r="I6" s="10" t="inlineStr">
        <is>
          <t>No</t>
        </is>
      </c>
      <c r="J6" s="10" t="inlineStr">
        <is>
          <t>≥ 0</t>
        </is>
      </c>
      <c r="K6" s="10" t="inlineStr">
        <is>
          <t>Pública</t>
        </is>
      </c>
      <c r="L6" s="10" t="inlineStr">
        <is>
          <t>Agregación y suma anualizada de reportes mensuales de los 9 Municipi</t>
        </is>
      </c>
      <c r="M6" s="10" t="inlineStr">
        <is>
          <t>¿Cuál es el panorama de seguridad vial y siniestros en la ciudad?</t>
        </is>
      </c>
    </row>
    <row r="7">
      <c r="A7" s="10" t="inlineStr">
        <is>
          <t>F03</t>
        </is>
      </c>
      <c r="B7" s="10" t="inlineStr">
        <is>
          <t>lago/seguridad.json</t>
        </is>
      </c>
      <c r="C7" s="10" t="inlineStr">
        <is>
          <t>lesionados_ultimo_anio</t>
        </is>
      </c>
      <c r="D7" s="10" t="inlineStr">
        <is>
          <t>Feriti</t>
        </is>
      </c>
      <c r="E7" s="10" t="inlineStr">
        <is>
          <t>Número total de personas que resultaron con lesiones corporales en siniestros viales</t>
        </is>
      </c>
      <c r="F7" s="10" t="inlineStr">
        <is>
          <t>Entero</t>
        </is>
      </c>
      <c r="G7" s="10" t="inlineStr">
        <is>
          <t>personas lesionadas</t>
        </is>
      </c>
      <c r="H7" s="10" t="n">
        <v>9384</v>
      </c>
      <c r="I7" s="10" t="inlineStr">
        <is>
          <t>No</t>
        </is>
      </c>
      <c r="J7" s="10" t="inlineStr">
        <is>
          <t>≥ 0</t>
        </is>
      </c>
      <c r="K7" s="10" t="inlineStr">
        <is>
          <t>Pública</t>
        </is>
      </c>
      <c r="L7" s="10" t="inlineStr">
        <is>
          <t>Suma de personas heridas reportadas en atenciones de tránsito</t>
        </is>
      </c>
      <c r="M7" s="10" t="inlineStr">
        <is>
          <t>¿Dónde se concentran los lesionados y cuál es la gravedad vial?</t>
        </is>
      </c>
    </row>
    <row r="8">
      <c r="A8" s="10" t="inlineStr">
        <is>
          <t>F02</t>
        </is>
      </c>
      <c r="B8" s="10" t="inlineStr">
        <is>
          <t>lago/demografia.json</t>
        </is>
      </c>
      <c r="C8" s="10" t="inlineStr">
        <is>
          <t>familias_residentes_ultimo_anio</t>
        </is>
      </c>
      <c r="D8" s="10" t="inlineStr">
        <is>
          <t>Famiglie</t>
        </is>
      </c>
      <c r="E8" s="10" t="inlineStr">
        <is>
          <t>Total de hogares y núcleos familiares registrados en el padrón anagráfico municipal</t>
        </is>
      </c>
      <c r="F8" s="10" t="inlineStr">
        <is>
          <t>Entero</t>
        </is>
      </c>
      <c r="G8" s="10" t="inlineStr">
        <is>
          <t>familias censadas</t>
        </is>
      </c>
      <c r="H8" s="10" t="n">
        <v>620587</v>
      </c>
      <c r="I8" s="10" t="inlineStr">
        <is>
          <t>No</t>
        </is>
      </c>
      <c r="J8" s="10" t="inlineStr">
        <is>
          <t>≥ 0</t>
        </is>
      </c>
      <c r="K8" s="10" t="inlineStr">
        <is>
          <t>Pública</t>
        </is>
      </c>
      <c r="L8" s="10" t="inlineStr">
        <is>
          <t>Consolidación de registros de familias por municipio para el último año censal disponible</t>
        </is>
      </c>
      <c r="M8" s="10" t="inlineStr">
        <is>
          <t>¿Cuánta gente vive y cómo se distribuye la población?</t>
        </is>
      </c>
    </row>
    <row r="9">
      <c r="A9" s="10" t="inlineStr">
        <is>
          <t>F02</t>
        </is>
      </c>
      <c r="B9" s="10" t="inlineStr">
        <is>
          <t>lago/demografia.json</t>
        </is>
      </c>
      <c r="C9" s="10" t="inlineStr">
        <is>
          <t>poblacion_estimada_familias</t>
        </is>
      </c>
      <c r="D9" s="10" t="inlineStr">
        <is>
          <t>Numero componenti * Famiglie</t>
        </is>
      </c>
      <c r="E9" s="10" t="inlineStr">
        <is>
          <t>Estimación del total de personas que conviven en familias registradas</t>
        </is>
      </c>
      <c r="F9" s="10" t="inlineStr">
        <is>
          <t>Entero</t>
        </is>
      </c>
      <c r="G9" s="10" t="inlineStr">
        <is>
          <t>habitantes en familias</t>
        </is>
      </c>
      <c r="H9" s="10" t="n">
        <v>1002644</v>
      </c>
      <c r="I9" s="10" t="inlineStr">
        <is>
          <t>No</t>
        </is>
      </c>
      <c r="J9" s="10" t="inlineStr">
        <is>
          <t>≥ 0</t>
        </is>
      </c>
      <c r="K9" s="10" t="inlineStr">
        <is>
          <t>Pública</t>
        </is>
      </c>
      <c r="L9" s="10" t="inlineStr">
        <is>
          <t>Multiplicación de familias por número de componentes declarados</t>
        </is>
      </c>
      <c r="M9" s="10" t="inlineStr">
        <is>
          <t>¿Cuánta gente vive en hogares familiares en Milán?</t>
        </is>
      </c>
    </row>
    <row r="10">
      <c r="A10" s="10" t="inlineStr">
        <is>
          <t>F06</t>
        </is>
      </c>
      <c r="B10" s="10" t="inlineStr">
        <is>
          <t>lago/ambiente.json</t>
        </is>
      </c>
      <c r="C10" s="10" t="inlineStr">
        <is>
          <t>promedio_no2</t>
        </is>
      </c>
      <c r="D10" s="10" t="inlineStr">
        <is>
          <t>valore (inquinante = NO2)</t>
        </is>
      </c>
      <c r="E10" s="10" t="inlineStr">
        <is>
          <t>Concentración promedio de dióxido de nitrógeno registrada en las estaciones urbanas de Milán</t>
        </is>
      </c>
      <c r="F10" s="10" t="inlineStr">
        <is>
          <t>Decimal</t>
        </is>
      </c>
      <c r="G10" s="10" t="inlineStr">
        <is>
          <t>µg/m³</t>
        </is>
      </c>
      <c r="H10" s="10" t="n">
        <v>59.92</v>
      </c>
      <c r="I10" s="10" t="inlineStr">
        <is>
          <t>No</t>
        </is>
      </c>
      <c r="J10" s="10" t="inlineStr">
        <is>
          <t>≥ 0.0</t>
        </is>
      </c>
      <c r="K10" s="10" t="inlineStr">
        <is>
          <t>Pública</t>
        </is>
      </c>
      <c r="L10" s="10" t="inlineStr">
        <is>
          <t>Filtrado por inquinante 'NO2' y cálculo de media aritmética de estaciones fijas</t>
        </is>
      </c>
      <c r="M10" s="10" t="inlineStr">
        <is>
          <t>¿Cuál es el nivel de exposición ambiental y calidad del aire?</t>
        </is>
      </c>
    </row>
    <row r="11">
      <c r="A11" s="10" t="inlineStr">
        <is>
          <t>F06</t>
        </is>
      </c>
      <c r="B11" s="10" t="inlineStr">
        <is>
          <t>lago/ambiente.json</t>
        </is>
      </c>
      <c r="C11" s="10" t="inlineStr">
        <is>
          <t>promedio_pm10</t>
        </is>
      </c>
      <c r="D11" s="10" t="inlineStr">
        <is>
          <t>valore (inquinante = PM10)</t>
        </is>
      </c>
      <c r="E11" s="10" t="inlineStr">
        <is>
          <t>Concentración promedio de material particulado PM10 en el aire urbano</t>
        </is>
      </c>
      <c r="F11" s="10" t="inlineStr">
        <is>
          <t>Decimal</t>
        </is>
      </c>
      <c r="G11" s="10" t="inlineStr">
        <is>
          <t>µg/m³</t>
        </is>
      </c>
      <c r="H11" s="10" t="n">
        <v>30.4</v>
      </c>
      <c r="I11" s="10" t="inlineStr">
        <is>
          <t>No</t>
        </is>
      </c>
      <c r="J11" s="10" t="inlineStr">
        <is>
          <t>≥ 0.0</t>
        </is>
      </c>
      <c r="K11" s="10" t="inlineStr">
        <is>
          <t>Pública</t>
        </is>
      </c>
      <c r="L11" s="10" t="inlineStr">
        <is>
          <t>Filtrado por inquinante 'PM10' y promedio de lecturas diarias</t>
        </is>
      </c>
      <c r="M11" s="10" t="inlineStr">
        <is>
          <t>¿Cuál es el nivel de partículas suspendidas en el ambiente?</t>
        </is>
      </c>
    </row>
    <row r="12">
      <c r="A12" s="10" t="inlineStr">
        <is>
          <t>F01</t>
        </is>
      </c>
      <c r="B12" s="10" t="inlineStr">
        <is>
          <t>territorio/nil.csv</t>
        </is>
      </c>
      <c r="C12" s="10" t="inlineStr">
        <is>
          <t>id_nil</t>
        </is>
      </c>
      <c r="D12" s="10" t="inlineStr">
        <is>
          <t>ID_NIL</t>
        </is>
      </c>
      <c r="E12" s="10" t="inlineStr">
        <is>
          <t>Identificador numérico oficial del Núcleo de Identidad Local (NIL) según el PGT</t>
        </is>
      </c>
      <c r="F12" s="10" t="inlineStr">
        <is>
          <t>Código</t>
        </is>
      </c>
      <c r="G12" s="10" t="inlineStr">
        <is>
          <t>código territorial</t>
        </is>
      </c>
      <c r="H12" s="10" t="n">
        <v>48</v>
      </c>
      <c r="I12" s="10" t="inlineStr">
        <is>
          <t>No</t>
        </is>
      </c>
      <c r="J12" s="10" t="inlineStr">
        <is>
          <t>1 a 88</t>
        </is>
      </c>
      <c r="K12" s="10" t="inlineStr">
        <is>
          <t>Pública</t>
        </is>
      </c>
      <c r="L12" s="10" t="inlineStr">
        <is>
          <t>Extracción de ID del shapefile oficial y cruce con centroides EPSG:4326</t>
        </is>
      </c>
      <c r="M12" s="10" t="inlineStr">
        <is>
          <t>¿Cuál es la delimitación geográfica de los 88 barrios de Milán?</t>
        </is>
      </c>
    </row>
    <row r="13">
      <c r="A13" s="10" t="inlineStr">
        <is>
          <t>F01</t>
        </is>
      </c>
      <c r="B13" s="10" t="inlineStr">
        <is>
          <t>territorio/nil.geojson</t>
        </is>
      </c>
      <c r="C13" s="10" t="inlineStr">
        <is>
          <t>nombre_nil</t>
        </is>
      </c>
      <c r="D13" s="10" t="inlineStr">
        <is>
          <t>NIL</t>
        </is>
      </c>
      <c r="E13" s="10" t="inlineStr">
        <is>
          <t>Denominación toponímica oficial del barrio según el Plan General de Territorio (PGT 2030)</t>
        </is>
      </c>
      <c r="F13" s="10" t="inlineStr">
        <is>
          <t>Texto</t>
        </is>
      </c>
      <c r="G13" s="10" t="inlineStr">
        <is>
          <t>nombre de barrio</t>
        </is>
      </c>
      <c r="H13" s="10" t="inlineStr">
        <is>
          <t>DUOMO</t>
        </is>
      </c>
      <c r="I13" s="10" t="inlineStr">
        <is>
          <t>No</t>
        </is>
      </c>
      <c r="J13" s="10" t="inlineStr">
        <is>
          <t>Texto oficial PGT</t>
        </is>
      </c>
      <c r="K13" s="10" t="inlineStr">
        <is>
          <t>Pública</t>
        </is>
      </c>
      <c r="L13" s="10" t="inlineStr">
        <is>
          <t>Normalización en mayúsculas sostenidas y codificación UTF-8</t>
        </is>
      </c>
      <c r="M13" s="10" t="inlineStr">
        <is>
          <t>¿Cómo se denomina y delimita cada uno de los 88 barrios de Milán?</t>
        </is>
      </c>
    </row>
    <row r="14">
      <c r="A14" s="10" t="inlineStr">
        <is>
          <t>F01</t>
        </is>
      </c>
      <c r="B14" s="10" t="inlineStr">
        <is>
          <t>territorio/nil.geojson</t>
        </is>
      </c>
      <c r="C14" s="10" t="inlineStr">
        <is>
          <t>superficie_nil_m2</t>
        </is>
      </c>
      <c r="D14" s="10" t="inlineStr">
        <is>
          <t>Shape_Area</t>
        </is>
      </c>
      <c r="E14" s="10" t="inlineStr">
        <is>
          <t>Área territorial física total en metros cuadrados del polígono barrial en proyección oficial métrica UTM 32N</t>
        </is>
      </c>
      <c r="F14" s="10" t="inlineStr">
        <is>
          <t>Decimal</t>
        </is>
      </c>
      <c r="G14" s="10" t="inlineStr">
        <is>
          <t>metros cuadrados (m²)</t>
        </is>
      </c>
      <c r="H14" s="10" t="n">
        <v>2406306.08</v>
      </c>
      <c r="I14" s="10" t="inlineStr">
        <is>
          <t>No</t>
        </is>
      </c>
      <c r="J14" s="10" t="inlineStr">
        <is>
          <t>&gt; 0.0</t>
        </is>
      </c>
      <c r="K14" s="10" t="inlineStr">
        <is>
          <t>Pública</t>
        </is>
      </c>
      <c r="L14" s="10" t="inlineStr">
        <is>
          <t>Reproyección cartográfica a UTM Zona 32N (EPSG:32632 métrico) desde las coordenadas geográficas WGS84 (EPSG:4326) para obtener el área física real en metros cuadrados (m²). No se calcula en EPSG:4326 porque sus unidades son grados angulares y no métricas.</t>
        </is>
      </c>
      <c r="M14" s="10" t="inlineStr">
        <is>
          <t>¿Cuál es la extensión espacial de cada núcleo de identidad local?</t>
        </is>
      </c>
    </row>
    <row r="15">
      <c r="A15" s="10" t="inlineStr">
        <is>
          <t>F04</t>
        </is>
      </c>
      <c r="B15" s="10" t="inlineStr">
        <is>
          <t>territorio/bikemi.geojson</t>
        </is>
      </c>
      <c r="C15" s="10" t="inlineStr">
        <is>
          <t>id_estacion_bikemi</t>
        </is>
      </c>
      <c r="D15" s="10" t="inlineStr">
        <is>
          <t>numero</t>
        </is>
      </c>
      <c r="E15" s="10" t="inlineStr">
        <is>
          <t>Número identificador oficial de la estación de bicicletas públicas compartidas BikeMi</t>
        </is>
      </c>
      <c r="F15" s="10" t="inlineStr">
        <is>
          <t>Código</t>
        </is>
      </c>
      <c r="G15" s="10" t="inlineStr">
        <is>
          <t>código de estación</t>
        </is>
      </c>
      <c r="H15" s="10" t="n">
        <v>102</v>
      </c>
      <c r="I15" s="10" t="inlineStr">
        <is>
          <t>No</t>
        </is>
      </c>
      <c r="J15" s="10" t="inlineStr">
        <is>
          <t>1 a 500</t>
        </is>
      </c>
      <c r="K15" s="10" t="inlineStr">
        <is>
          <t>Pública</t>
        </is>
      </c>
      <c r="L15" s="10" t="inlineStr">
        <is>
          <t>Validación de código numérico entero asignado por AMAT</t>
        </is>
      </c>
      <c r="M15" s="10" t="inlineStr">
        <is>
          <t>¿Cómo se distribuye la infraestructura de micromovilidad en la ciudad?</t>
        </is>
      </c>
    </row>
    <row r="16">
      <c r="A16" s="10" t="inlineStr">
        <is>
          <t>F04</t>
        </is>
      </c>
      <c r="B16" s="10" t="inlineStr">
        <is>
          <t>territorio/bikemi.geojson</t>
        </is>
      </c>
      <c r="C16" s="10" t="inlineStr">
        <is>
          <t>nombre_estacion</t>
        </is>
      </c>
      <c r="D16" s="10" t="inlineStr">
        <is>
          <t>nome</t>
        </is>
      </c>
      <c r="E16" s="10" t="inlineStr">
        <is>
          <t>Dirección y referencia física de localización del punto de anclaje de bicicletas</t>
        </is>
      </c>
      <c r="F16" s="10" t="inlineStr">
        <is>
          <t>Texto</t>
        </is>
      </c>
      <c r="G16" s="10" t="inlineStr">
        <is>
          <t>dirección toponímica</t>
        </is>
      </c>
      <c r="H16" s="10" t="inlineStr">
        <is>
          <t>Cordusio</t>
        </is>
      </c>
      <c r="I16" s="10" t="inlineStr">
        <is>
          <t>No</t>
        </is>
      </c>
      <c r="J16" s="10" t="inlineStr">
        <is>
          <t>Texto no vacío</t>
        </is>
      </c>
      <c r="K16" s="10" t="inlineStr">
        <is>
          <t>Pública</t>
        </is>
      </c>
      <c r="L16" s="10" t="inlineStr">
        <is>
          <t>Normalización de cadenas y limpieza de espacios en blanco</t>
        </is>
      </c>
      <c r="M16" s="10" t="inlineStr">
        <is>
          <t>¿Dónde están ubicadas las estaciones de bicicletas compartidas?</t>
        </is>
      </c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</row>
    <row r="45">
      <c r="A45" s="15" t="inlineStr">
        <is>
          <t>F05</t>
        </is>
      </c>
      <c r="B45" s="15" t="inlineStr">
        <is>
          <t>territorio/ciclabili.geojson</t>
        </is>
      </c>
      <c r="C45" s="15" t="inlineStr">
        <is>
          <t>id_itinerario</t>
        </is>
      </c>
      <c r="D45" s="15" t="inlineStr">
        <is>
          <t>id_itinerario</t>
        </is>
      </c>
      <c r="E45" s="15" t="inlineStr">
        <is>
          <t>Identificador alfanumérico del tramo o eje ciclable</t>
        </is>
      </c>
      <c r="F45" s="15" t="inlineStr">
        <is>
          <t>Texto</t>
        </is>
      </c>
      <c r="G45" s="15" t="inlineStr">
        <is>
          <t>Código</t>
        </is>
      </c>
      <c r="H45" s="15" t="inlineStr">
        <is>
          <t>CIC-01</t>
        </is>
      </c>
      <c r="I45" s="15" t="inlineStr">
        <is>
          <t>No</t>
        </is>
      </c>
      <c r="J45" s="15" t="inlineStr">
        <is>
          <t>Formato CIC-XX</t>
        </is>
      </c>
      <c r="K45" s="15" t="inlineStr">
        <is>
          <t>Pública</t>
        </is>
      </c>
      <c r="L45" s="15" t="inlineStr">
        <is>
          <t>Estandarización de códigos de red</t>
        </is>
      </c>
      <c r="M45" s="15" t="inlineStr">
        <is>
          <t>¿Cómo se identifica cada eje ciclista estructurante de la ciudad?</t>
        </is>
      </c>
    </row>
    <row r="46">
      <c r="A46" s="15" t="inlineStr">
        <is>
          <t>F05</t>
        </is>
      </c>
      <c r="B46" s="15" t="inlineStr">
        <is>
          <t>territorio/ciclabili.geojson</t>
        </is>
      </c>
      <c r="C46" s="15" t="inlineStr">
        <is>
          <t>nome_itinerario</t>
        </is>
      </c>
      <c r="D46" s="15" t="inlineStr">
        <is>
          <t>nome_itinerario</t>
        </is>
      </c>
      <c r="E46" s="15" t="inlineStr">
        <is>
          <t>Nombre del corredor o vía urbana por donde discurre la pista ciclista</t>
        </is>
      </c>
      <c r="F46" s="15" t="inlineStr">
        <is>
          <t>Texto</t>
        </is>
      </c>
      <c r="G46" s="15" t="inlineStr">
        <is>
          <t>Nombre de calle</t>
        </is>
      </c>
      <c r="H46" s="15" t="inlineStr">
        <is>
          <t>Dorsale Centro - Buenos Aires - Monza</t>
        </is>
      </c>
      <c r="I46" s="15" t="inlineStr">
        <is>
          <t>No</t>
        </is>
      </c>
      <c r="J46" s="15" t="inlineStr">
        <is>
          <t>Cualquier texto</t>
        </is>
      </c>
      <c r="K46" s="15" t="inlineStr">
        <is>
          <t>Pública</t>
        </is>
      </c>
      <c r="L46" s="15" t="inlineStr">
        <is>
          <t>Normalización tipográfica</t>
        </is>
      </c>
      <c r="M46" s="15" t="inlineStr">
        <is>
          <t>¿Qué arterias principales cuentan con infraestructura ciclista?</t>
        </is>
      </c>
    </row>
    <row r="47">
      <c r="A47" s="15" t="inlineStr">
        <is>
          <t>F05</t>
        </is>
      </c>
      <c r="B47" s="15" t="inlineStr">
        <is>
          <t>territorio/ciclabili.geojson</t>
        </is>
      </c>
      <c r="C47" s="15" t="inlineStr">
        <is>
          <t>tipologia</t>
        </is>
      </c>
      <c r="D47" s="15" t="inlineStr">
        <is>
          <t>tipologia</t>
        </is>
      </c>
      <c r="E47" s="15" t="inlineStr">
        <is>
          <t>Clasificación funcional de la infraestructura ciclista según grado de segregación</t>
        </is>
      </c>
      <c r="F47" s="15" t="inlineStr">
        <is>
          <t>Texto</t>
        </is>
      </c>
      <c r="G47" s="15" t="inlineStr">
        <is>
          <t>Categoría vial</t>
        </is>
      </c>
      <c r="H47" s="15" t="inlineStr">
        <is>
          <t>Pista in sede propria protetta</t>
        </is>
      </c>
      <c r="I47" s="15" t="inlineStr">
        <is>
          <t>No</t>
        </is>
      </c>
      <c r="J47" s="15" t="inlineStr">
        <is>
          <t>Pista in sede propria, Corsia ciclabile, Percorso ciclo-pedonale</t>
        </is>
      </c>
      <c r="K47" s="15" t="inlineStr">
        <is>
          <t>Pública</t>
        </is>
      </c>
      <c r="L47" s="15" t="inlineStr">
        <is>
          <t>Armonización de categorías de movilidad</t>
        </is>
      </c>
      <c r="M47" s="15" t="inlineStr">
        <is>
          <t>¿Qué nivel de segregación y seguridad ofrece la red ciclista?</t>
        </is>
      </c>
    </row>
    <row r="48">
      <c r="A48" s="15" t="inlineStr">
        <is>
          <t>F05</t>
        </is>
      </c>
      <c r="B48" s="15" t="inlineStr">
        <is>
          <t>territorio/ciclabili.geojson</t>
        </is>
      </c>
      <c r="C48" s="15" t="inlineStr">
        <is>
          <t>lunghezza_m</t>
        </is>
      </c>
      <c r="D48" s="15" t="inlineStr">
        <is>
          <t>lunghezza_m</t>
        </is>
      </c>
      <c r="E48" s="15" t="inlineStr">
        <is>
          <t>Longitud métrica del tramo ciclista calculada en proyección métrica</t>
        </is>
      </c>
      <c r="F48" s="15" t="inlineStr">
        <is>
          <t>Decimal</t>
        </is>
      </c>
      <c r="G48" s="15" t="inlineStr">
        <is>
          <t>metros (m)</t>
        </is>
      </c>
      <c r="H48" s="15" t="inlineStr">
        <is>
          <t>5420.5</t>
        </is>
      </c>
      <c r="I48" s="15" t="inlineStr">
        <is>
          <t>No</t>
        </is>
      </c>
      <c r="J48" s="15" t="inlineStr">
        <is>
          <t>&gt; 0.0</t>
        </is>
      </c>
      <c r="K48" s="15" t="inlineStr">
        <is>
          <t>Pública</t>
        </is>
      </c>
      <c r="L48" s="15" t="inlineStr">
        <is>
          <t>Cálculo de longitud de línea en proyección métrica UTM 32N</t>
        </is>
      </c>
      <c r="M48" s="15" t="inlineStr">
        <is>
          <t>¿Cuál es la extensión lineal de cada tramo ciclable?</t>
        </is>
      </c>
    </row>
    <row r="49">
      <c r="A49" s="15" t="inlineStr">
        <is>
          <t>F05</t>
        </is>
      </c>
      <c r="B49" s="15" t="inlineStr">
        <is>
          <t>lago/ciclabili.json</t>
        </is>
      </c>
      <c r="C49" s="15" t="inlineStr">
        <is>
          <t>longitud_total_red_ciclista_km</t>
        </is>
      </c>
      <c r="D49" s="15" t="inlineStr">
        <is>
          <t>Lunghezza totale</t>
        </is>
      </c>
      <c r="E49" s="15" t="inlineStr">
        <is>
          <t>Longitud total acumulada de la red ciclista consolidada en la ciudad</t>
        </is>
      </c>
      <c r="F49" s="15" t="inlineStr">
        <is>
          <t>Decimal</t>
        </is>
      </c>
      <c r="G49" s="15" t="inlineStr">
        <is>
          <t>kilómetros (km)</t>
        </is>
      </c>
      <c r="H49" s="15" t="inlineStr">
        <is>
          <t>312.4</t>
        </is>
      </c>
      <c r="I49" s="15" t="inlineStr">
        <is>
          <t>No</t>
        </is>
      </c>
      <c r="J49" s="15" t="inlineStr">
        <is>
          <t>&gt; 0.0</t>
        </is>
      </c>
      <c r="K49" s="15" t="inlineStr">
        <is>
          <t>Pública</t>
        </is>
      </c>
      <c r="L49" s="15" t="inlineStr">
        <is>
          <t>Suma agregada de la red ciclista municipal</t>
        </is>
      </c>
      <c r="M49" s="15" t="inlineStr">
        <is>
          <t>¿Cuál es la cobertura ciclista total para la transición ecológica?</t>
        </is>
      </c>
    </row>
    <row r="50">
      <c r="A50" s="15" t="inlineStr">
        <is>
          <t>F07</t>
        </is>
      </c>
      <c r="B50" s="15" t="inlineStr">
        <is>
          <t>territorio/varchi.geojson</t>
        </is>
      </c>
      <c r="C50" s="15" t="inlineStr">
        <is>
          <t>id_varco</t>
        </is>
      </c>
      <c r="D50" s="15" t="inlineStr">
        <is>
          <t>id_varco</t>
        </is>
      </c>
      <c r="E50" s="15" t="inlineStr">
        <is>
          <t>Identificador oficial de la cámara electrónica perimetral de fiscalización ambiental</t>
        </is>
      </c>
      <c r="F50" s="15" t="inlineStr">
        <is>
          <t>Texto</t>
        </is>
      </c>
      <c r="G50" s="15" t="inlineStr">
        <is>
          <t>Código</t>
        </is>
      </c>
      <c r="H50" s="15" t="inlineStr">
        <is>
          <t>VAR-01</t>
        </is>
      </c>
      <c r="I50" s="15" t="inlineStr">
        <is>
          <t>No</t>
        </is>
      </c>
      <c r="J50" s="15" t="inlineStr">
        <is>
          <t>Formato VAR-XX</t>
        </is>
      </c>
      <c r="K50" s="15" t="inlineStr">
        <is>
          <t>Pública</t>
        </is>
      </c>
      <c r="L50" s="15" t="inlineStr">
        <is>
          <t>Asignación de código normativo</t>
        </is>
      </c>
      <c r="M50" s="15" t="inlineStr">
        <is>
          <t>¿Cómo se identifica cada pórtico perimetral de control?</t>
        </is>
      </c>
    </row>
    <row r="51">
      <c r="A51" s="15" t="inlineStr">
        <is>
          <t>F07</t>
        </is>
      </c>
      <c r="B51" s="15" t="inlineStr">
        <is>
          <t>territorio/varchi.geojson</t>
        </is>
      </c>
      <c r="C51" s="15" t="inlineStr">
        <is>
          <t>nome_varco</t>
        </is>
      </c>
      <c r="D51" s="15" t="inlineStr">
        <is>
          <t>nome_varco</t>
        </is>
      </c>
      <c r="E51" s="15" t="inlineStr">
        <is>
          <t>Punto geográfico de acceso perimetral o intersección donde se ubica la cámara</t>
        </is>
      </c>
      <c r="F51" s="15" t="inlineStr">
        <is>
          <t>Texto</t>
        </is>
      </c>
      <c r="G51" s="15" t="inlineStr">
        <is>
          <t>Topónimo</t>
        </is>
      </c>
      <c r="H51" s="15" t="inlineStr">
        <is>
          <t>Viale Monza - Precotto</t>
        </is>
      </c>
      <c r="I51" s="15" t="inlineStr">
        <is>
          <t>No</t>
        </is>
      </c>
      <c r="J51" s="15" t="inlineStr">
        <is>
          <t>Cualquier texto</t>
        </is>
      </c>
      <c r="K51" s="15" t="inlineStr">
        <is>
          <t>Pública</t>
        </is>
      </c>
      <c r="L51" s="15" t="inlineStr">
        <is>
          <t>Normalización toponímica</t>
        </is>
      </c>
      <c r="M51" s="15" t="inlineStr">
        <is>
          <t>¿Dónde están ubicados los accesos controlados a la zona de bajas emisiones?</t>
        </is>
      </c>
    </row>
    <row r="52">
      <c r="A52" s="15" t="inlineStr">
        <is>
          <t>F07</t>
        </is>
      </c>
      <c r="B52" s="15" t="inlineStr">
        <is>
          <t>territorio/varchi.geojson</t>
        </is>
      </c>
      <c r="C52" s="15" t="inlineStr">
        <is>
          <t>tipo_varco</t>
        </is>
      </c>
      <c r="D52" s="15" t="inlineStr">
        <is>
          <t>tipo_varco</t>
        </is>
      </c>
      <c r="E52" s="15" t="inlineStr">
        <is>
          <t>Tipo de tecnología de captura electrónica y lectura de matrículas</t>
        </is>
      </c>
      <c r="F52" s="15" t="inlineStr">
        <is>
          <t>Texto</t>
        </is>
      </c>
      <c r="G52" s="15" t="inlineStr">
        <is>
          <t>Tipo sensor</t>
        </is>
      </c>
      <c r="H52" s="15" t="inlineStr">
        <is>
          <t>Telecamera fissa OCR / Infrarosso</t>
        </is>
      </c>
      <c r="I52" s="15" t="inlineStr">
        <is>
          <t>No</t>
        </is>
      </c>
      <c r="J52" s="15" t="inlineStr">
        <is>
          <t>Telecamera fissa OCR</t>
        </is>
      </c>
      <c r="K52" s="15" t="inlineStr">
        <is>
          <t>Pública</t>
        </is>
      </c>
      <c r="L52" s="15" t="inlineStr">
        <is>
          <t>Catalogación tecnológica</t>
        </is>
      </c>
      <c r="M52" s="15" t="inlineStr">
        <is>
          <t>¿Qué tecnología vigila las emisiones vehiculares?</t>
        </is>
      </c>
    </row>
    <row r="53">
      <c r="A53" s="15" t="inlineStr">
        <is>
          <t>F07</t>
        </is>
      </c>
      <c r="B53" s="15" t="inlineStr">
        <is>
          <t>lago/varchi.json</t>
        </is>
      </c>
      <c r="C53" s="15" t="inlineStr">
        <is>
          <t>total_varchi_activos</t>
        </is>
      </c>
      <c r="D53" s="15" t="inlineStr">
        <is>
          <t>Numero varchi</t>
        </is>
      </c>
      <c r="E53" s="15" t="inlineStr">
        <is>
          <t>Cantidad total de cámaras activas de fiscalización ambiental en el anillo exterior</t>
        </is>
      </c>
      <c r="F53" s="15" t="inlineStr">
        <is>
          <t>Entero</t>
        </is>
      </c>
      <c r="G53" s="15" t="inlineStr">
        <is>
          <t>cámaras electrónicas</t>
        </is>
      </c>
      <c r="H53" s="15" t="inlineStr">
        <is>
          <t>188</t>
        </is>
      </c>
      <c r="I53" s="15" t="inlineStr">
        <is>
          <t>No</t>
        </is>
      </c>
      <c r="J53" s="15" t="inlineStr">
        <is>
          <t>150 a 250</t>
        </is>
      </c>
      <c r="K53" s="15" t="inlineStr">
        <is>
          <t>Pública</t>
        </is>
      </c>
      <c r="L53" s="15" t="inlineStr">
        <is>
          <t>Conteo total de puntos de control perimetral</t>
        </is>
      </c>
      <c r="M53" s="15" t="inlineStr">
        <is>
          <t>¿Cuántos accesos vehiculares están fiscalizados en Área B?</t>
        </is>
      </c>
    </row>
    <row r="54">
      <c r="A54" s="15" t="inlineStr">
        <is>
          <t>F07</t>
        </is>
      </c>
      <c r="B54" s="15" t="inlineStr">
        <is>
          <t>lago/varchi.json</t>
        </is>
      </c>
      <c r="C54" s="15" t="inlineStr">
        <is>
          <t>porcentaje_territorio_protegido_areab</t>
        </is>
      </c>
      <c r="D54" s="15" t="inlineStr">
        <is>
          <t>Superficie coperta</t>
        </is>
      </c>
      <c r="E54" s="15" t="inlineStr">
        <is>
          <t>Porcentaje del territorio municipal de Milán protegido bajo la ZTL de bajas emisiones</t>
        </is>
      </c>
      <c r="F54" s="15" t="inlineStr">
        <is>
          <t>Decimal</t>
        </is>
      </c>
      <c r="G54" s="15" t="inlineStr">
        <is>
          <t>porcentaje (%)</t>
        </is>
      </c>
      <c r="H54" s="15" t="inlineStr">
        <is>
          <t>72.0</t>
        </is>
      </c>
      <c r="I54" s="15" t="inlineStr">
        <is>
          <t>No</t>
        </is>
      </c>
      <c r="J54" s="15" t="inlineStr">
        <is>
          <t>0.0 a 100.0</t>
        </is>
      </c>
      <c r="K54" s="15" t="inlineStr">
        <is>
          <t>Pública</t>
        </is>
      </c>
      <c r="L54" s="15" t="inlineStr">
        <is>
          <t>Cálculo de cobertura territorial del polígono Área B sobre Milán</t>
        </is>
      </c>
      <c r="M54" s="15" t="inlineStr">
        <is>
          <t>¿Qué proporción del territorio comunal goza de restricción a vehículos contaminantes?</t>
        </is>
      </c>
    </row>
    <row r="55">
      <c r="A55" s="15" t="inlineStr">
        <is>
          <t>F08</t>
        </is>
      </c>
      <c r="B55" s="15" t="inlineStr">
        <is>
          <t>lago/turismo.json</t>
        </is>
      </c>
      <c r="C55" s="15" t="inlineStr">
        <is>
          <t>total_estructuras_alojamiento</t>
        </is>
      </c>
      <c r="D55" s="15" t="inlineStr">
        <is>
          <t>Numero_Esercizi</t>
        </is>
      </c>
      <c r="E55" s="15" t="inlineStr">
        <is>
          <t>Total de establecimientos de hospedaje y alojamiento turístico registrados</t>
        </is>
      </c>
      <c r="F55" s="15" t="inlineStr">
        <is>
          <t>Entero</t>
        </is>
      </c>
      <c r="G55" s="15" t="inlineStr">
        <is>
          <t>establecimientos</t>
        </is>
      </c>
      <c r="H55" s="15" t="inlineStr">
        <is>
          <t>7534</t>
        </is>
      </c>
      <c r="I55" s="15" t="inlineStr">
        <is>
          <t>No</t>
        </is>
      </c>
      <c r="J55" s="15" t="inlineStr">
        <is>
          <t>&gt; 0</t>
        </is>
      </c>
      <c r="K55" s="15" t="inlineStr">
        <is>
          <t>Pública</t>
        </is>
      </c>
      <c r="L55" s="15" t="inlineStr">
        <is>
          <t>Conteo total consolidado del registro turístico</t>
        </is>
      </c>
      <c r="M55" s="15" t="inlineStr">
        <is>
          <t>¿Cuál es la oferta total de alojamiento turístico en Milán?</t>
        </is>
      </c>
    </row>
    <row r="56">
      <c r="A56" s="15" t="inlineStr">
        <is>
          <t>F08</t>
        </is>
      </c>
      <c r="B56" s="15" t="inlineStr">
        <is>
          <t>lago/turismo.json</t>
        </is>
      </c>
      <c r="C56" s="15" t="inlineStr">
        <is>
          <t>capacidad_total_camas_posti_letto</t>
        </is>
      </c>
      <c r="D56" s="15" t="inlineStr">
        <is>
          <t>Posti_Letto</t>
        </is>
      </c>
      <c r="E56" s="15" t="inlineStr">
        <is>
          <t>Capacidad máxima total de plazas y camas habilitadas para turistas</t>
        </is>
      </c>
      <c r="F56" s="15" t="inlineStr">
        <is>
          <t>Entero</t>
        </is>
      </c>
      <c r="G56" s="15" t="inlineStr">
        <is>
          <t>camas / plazas</t>
        </is>
      </c>
      <c r="H56" s="15" t="inlineStr">
        <is>
          <t>84210</t>
        </is>
      </c>
      <c r="I56" s="15" t="inlineStr">
        <is>
          <t>No</t>
        </is>
      </c>
      <c r="J56" s="15" t="inlineStr">
        <is>
          <t>&gt; 0</t>
        </is>
      </c>
      <c r="K56" s="15" t="inlineStr">
        <is>
          <t>Pública</t>
        </is>
      </c>
      <c r="L56" s="15" t="inlineStr">
        <is>
          <t>Suma total de capacidad de camas</t>
        </is>
      </c>
      <c r="M56" s="15" t="inlineStr">
        <is>
          <t>¿Cuántos visitantes simultáneos puede hospedar la infraestructura de la ciudad?</t>
        </is>
      </c>
    </row>
    <row r="57">
      <c r="A57" s="15" t="inlineStr">
        <is>
          <t>F08</t>
        </is>
      </c>
      <c r="B57" s="15" t="inlineStr">
        <is>
          <t>lago/turismo.json</t>
        </is>
      </c>
      <c r="C57" s="15" t="inlineStr">
        <is>
          <t>presion_turistica_centro_m1</t>
        </is>
      </c>
      <c r="D57" s="15" t="inlineStr">
        <is>
          <t>Concentrazione M1-M2</t>
        </is>
      </c>
      <c r="E57" s="15" t="inlineStr">
        <is>
          <t>Porcentaje de plazas hoteleras concentradas en los distritos centrales</t>
        </is>
      </c>
      <c r="F57" s="15" t="inlineStr">
        <is>
          <t>Decimal</t>
        </is>
      </c>
      <c r="G57" s="15" t="inlineStr">
        <is>
          <t>porcentaje (%)</t>
        </is>
      </c>
      <c r="H57" s="15" t="inlineStr">
        <is>
          <t>41.5</t>
        </is>
      </c>
      <c r="I57" s="15" t="inlineStr">
        <is>
          <t>No</t>
        </is>
      </c>
      <c r="J57" s="15" t="inlineStr">
        <is>
          <t>0.0 a 100.0</t>
        </is>
      </c>
      <c r="K57" s="15" t="inlineStr">
        <is>
          <t>Pública</t>
        </is>
      </c>
      <c r="L57" s="15" t="inlineStr">
        <is>
          <t>Cálculo de ratio de concentración territorial de hospedaje</t>
        </is>
      </c>
      <c r="M57" s="15" t="inlineStr">
        <is>
          <t>¿Qué grado de presión turística soportan los barrios centrales frente a la periferia?</t>
        </is>
      </c>
    </row>
    <row r="58">
      <c r="A58" s="15" t="inlineStr">
        <is>
          <t>F12</t>
        </is>
      </c>
      <c r="B58" s="15" t="inlineStr">
        <is>
          <t>territorio/nil.geojson</t>
        </is>
      </c>
      <c r="C58" s="15" t="inlineStr">
        <is>
          <t>popolazione</t>
        </is>
      </c>
      <c r="D58" s="15" t="inlineStr">
        <is>
          <t>Popolazione residente</t>
        </is>
      </c>
      <c r="E58" s="15" t="inlineStr">
        <is>
          <t>Población total residente en el barrio censada en el padrón municipal POSAS</t>
        </is>
      </c>
      <c r="F58" s="15" t="inlineStr">
        <is>
          <t>Entero</t>
        </is>
      </c>
      <c r="G58" s="15" t="inlineStr">
        <is>
          <t>habitantes</t>
        </is>
      </c>
      <c r="H58" s="15" t="inlineStr">
        <is>
          <t>18450</t>
        </is>
      </c>
      <c r="I58" s="15" t="inlineStr">
        <is>
          <t>No</t>
        </is>
      </c>
      <c r="J58" s="15" t="inlineStr">
        <is>
          <t>&gt; 0</t>
        </is>
      </c>
      <c r="K58" s="15" t="inlineStr">
        <is>
          <t>Pública</t>
        </is>
      </c>
      <c r="L58" s="15" t="inlineStr">
        <is>
          <t>Agregación territorial por polígono NIL oficial</t>
        </is>
      </c>
      <c r="M58" s="15" t="inlineStr">
        <is>
          <t>¿Cuántas personas viven en cada uno de los 88 barrios de Milán?</t>
        </is>
      </c>
    </row>
    <row r="59">
      <c r="A59" s="15" t="inlineStr">
        <is>
          <t>F12</t>
        </is>
      </c>
      <c r="B59" s="15" t="inlineStr">
        <is>
          <t>territorio/nil.geojson</t>
        </is>
      </c>
      <c r="C59" s="15" t="inlineStr">
        <is>
          <t>densita_ab_km2</t>
        </is>
      </c>
      <c r="D59" s="15" t="inlineStr">
        <is>
          <t>Densita</t>
        </is>
      </c>
      <c r="E59" s="15" t="inlineStr">
        <is>
          <t>Densidad de población habitacional calculada dividiendo habitantes entre área métrica UTM 32N</t>
        </is>
      </c>
      <c r="F59" s="15" t="inlineStr">
        <is>
          <t>Decimal</t>
        </is>
      </c>
      <c r="G59" s="15" t="inlineStr">
        <is>
          <t>habitantes / km²</t>
        </is>
      </c>
      <c r="H59" s="15" t="inlineStr">
        <is>
          <t>7880.2</t>
        </is>
      </c>
      <c r="I59" s="15" t="inlineStr">
        <is>
          <t>No</t>
        </is>
      </c>
      <c r="J59" s="15" t="inlineStr">
        <is>
          <t>&gt;= 0.0</t>
        </is>
      </c>
      <c r="K59" s="15" t="inlineStr">
        <is>
          <t>Pública</t>
        </is>
      </c>
      <c r="L59" s="15" t="inlineStr">
        <is>
          <t>División de población entre área proyectada (EPSG:32632)</t>
        </is>
      </c>
      <c r="M59" s="15" t="inlineStr">
        <is>
          <t>¿Qué barrios sufren mayor saturación o densidad habitacional?</t>
        </is>
      </c>
    </row>
    <row r="60">
      <c r="A60" s="15" t="inlineStr">
        <is>
          <t>F13</t>
        </is>
      </c>
      <c r="B60" s="15" t="inlineStr">
        <is>
          <t>territorio/nil.geojson</t>
        </is>
      </c>
      <c r="C60" s="15" t="inlineStr">
        <is>
          <t>quota_verde_pct</t>
        </is>
      </c>
      <c r="D60" s="15" t="inlineStr">
        <is>
          <t>Superficie verde</t>
        </is>
      </c>
      <c r="E60" s="15" t="inlineStr">
        <is>
          <t>Porcentaje del área del barrio ocupada por parques, jardines y espacios verdes</t>
        </is>
      </c>
      <c r="F60" s="15" t="inlineStr">
        <is>
          <t>Decimal</t>
        </is>
      </c>
      <c r="G60" s="15" t="inlineStr">
        <is>
          <t>porcentaje (%)</t>
        </is>
      </c>
      <c r="H60" s="15" t="inlineStr">
        <is>
          <t>24.5</t>
        </is>
      </c>
      <c r="I60" s="15" t="inlineStr">
        <is>
          <t>No</t>
        </is>
      </c>
      <c r="J60" s="15" t="inlineStr">
        <is>
          <t>0.0 a 100.0</t>
        </is>
      </c>
      <c r="K60" s="15" t="inlineStr">
        <is>
          <t>Pública</t>
        </is>
      </c>
      <c r="L60" s="15" t="inlineStr">
        <is>
          <t>Intersección espacial de polígonos de parques con la malla de los NIL</t>
        </is>
      </c>
      <c r="M60" s="15" t="inlineStr">
        <is>
          <t>¿Qué barrios tienen déficit de áreas verdes y cuáles actúan como pulmones ecológicos?</t>
        </is>
      </c>
    </row>
    <row r="61">
      <c r="A61" s="15" t="inlineStr">
        <is>
          <t>F14</t>
        </is>
      </c>
      <c r="B61" s="15" t="inlineStr">
        <is>
          <t>territorio/nil.geojson</t>
        </is>
      </c>
      <c r="C61" s="15" t="inlineStr">
        <is>
          <t>fermate_metro</t>
        </is>
      </c>
      <c r="D61" s="15" t="inlineStr">
        <is>
          <t>Fermate metropolitana</t>
        </is>
      </c>
      <c r="E61" s="15" t="inlineStr">
        <is>
          <t>Número de estaciones de la red de metro (M1 a M5) ubicadas dentro del NIL</t>
        </is>
      </c>
      <c r="F61" s="15" t="inlineStr">
        <is>
          <t>Entero</t>
        </is>
      </c>
      <c r="G61" s="15" t="inlineStr">
        <is>
          <t>estaciones</t>
        </is>
      </c>
      <c r="H61" s="15" t="inlineStr">
        <is>
          <t>3</t>
        </is>
      </c>
      <c r="I61" s="15" t="inlineStr">
        <is>
          <t>No</t>
        </is>
      </c>
      <c r="J61" s="15" t="inlineStr">
        <is>
          <t>&gt;= 0</t>
        </is>
      </c>
      <c r="K61" s="15" t="inlineStr">
        <is>
          <t>Pública</t>
        </is>
      </c>
      <c r="L61" s="15" t="inlineStr">
        <is>
          <t>Point-in-polygon de estaciones de metro sobre los 88 NIL</t>
        </is>
      </c>
      <c r="M61" s="15" t="inlineStr">
        <is>
          <t>¿Cómo se distribuye la conectividad de transporte rápido masivo en el territorio?</t>
        </is>
      </c>
    </row>
    <row r="62">
      <c r="A62" s="15" t="inlineStr">
        <is>
          <t>F24</t>
        </is>
      </c>
      <c r="B62" s="15" t="inlineStr">
        <is>
          <t>territorio/nil.geojson</t>
        </is>
      </c>
      <c r="C62" s="15" t="inlineStr">
        <is>
          <t>indice_vulnerabilita</t>
        </is>
      </c>
      <c r="D62" s="15" t="inlineStr">
        <is>
          <t>Indice vulnerabilita</t>
        </is>
      </c>
      <c r="E62" s="15" t="inlineStr">
        <is>
          <t>Índice sintético multivariable de vulnerabilidad social y material del PGT 2030</t>
        </is>
      </c>
      <c r="F62" s="15" t="inlineStr">
        <is>
          <t>Decimal</t>
        </is>
      </c>
      <c r="G62" s="15" t="inlineStr">
        <is>
          <t>índice (escala 1.0 a 5.0)</t>
        </is>
      </c>
      <c r="H62" s="15" t="inlineStr">
        <is>
          <t>2.45</t>
        </is>
      </c>
      <c r="I62" s="15" t="inlineStr">
        <is>
          <t>No</t>
        </is>
      </c>
      <c r="J62" s="15" t="inlineStr">
        <is>
          <t>1.0 a 5.0</t>
        </is>
      </c>
      <c r="K62" s="15" t="inlineStr">
        <is>
          <t>Pública</t>
        </is>
      </c>
      <c r="L62" s="15" t="inlineStr">
        <is>
          <t>Normalización estadística de indicadores socioeconómicos del censo</t>
        </is>
      </c>
      <c r="M62" s="15" t="inlineStr">
        <is>
          <t>¿Cuáles son las zonas prioritarias de intervención pública contra la desigualdad?</t>
        </is>
      </c>
    </row>
  </sheetData>
  <dataValidations count="3">
    <dataValidation sqref="F5:F44" showDropDown="0" showInputMessage="0" showErrorMessage="0" allowBlank="1" error="Elijan una opción de la lista" type="list">
      <formula1>"Texto,Entero,Decimal,Fecha,Booleano,Código,Coordenada / geometría"</formula1>
    </dataValidation>
    <dataValidation sqref="I5:I44" showDropDown="0" showInputMessage="0" showErrorMessage="0" allowBlank="1" error="Elijan una opción de la lista" type="list">
      <formula1>"Sí,No"</formula1>
    </dataValidation>
    <dataValidation sqref="K5:K44" showDropDown="0" showInputMessage="0" showErrorMessage="0" allowBlank="1" error="Elijan una opción de la lista" type="list">
      <formula1>"Pública,Interna,Sensible,Dato personal"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 outlineLevelCol="0"/>
  <cols>
    <col width="5" customWidth="1" min="1" max="1"/>
    <col width="16" customWidth="1" min="2" max="2"/>
    <col width="36" customWidth="1" min="3" max="4"/>
    <col width="30" customWidth="1" min="5" max="5"/>
    <col width="16" customWidth="1" min="6" max="6"/>
    <col width="12" customWidth="1" min="7" max="7"/>
    <col width="30" customWidth="1" min="8" max="8"/>
  </cols>
  <sheetData>
    <row r="1" ht="18" customHeight="1">
      <c r="A1" s="6" t="inlineStr">
        <is>
          <t>3. Bitácora de la búsqueda con IA</t>
        </is>
      </c>
    </row>
    <row r="2">
      <c r="A2" s="7" t="inlineStr">
        <is>
          <t>Qué le encargaron a la IA y qué pasó con lo que respondió. Incluyan los errores: valen tanto como los aciertos.</t>
        </is>
      </c>
    </row>
    <row r="3" ht="42" customHeight="1">
      <c r="A3" s="8" t="inlineStr">
        <is>
          <t>#</t>
        </is>
      </c>
      <c r="B3" s="8" t="inlineStr">
        <is>
          <t>Herramienta de IA</t>
        </is>
      </c>
      <c r="C3" s="8" t="inlineStr">
        <is>
          <t>Qué le encargaron</t>
        </is>
      </c>
      <c r="D3" s="8" t="inlineStr">
        <is>
          <t>Qué respondió (resumen)</t>
        </is>
      </c>
      <c r="E3" s="8" t="inlineStr">
        <is>
          <t>Cómo lo comprobaron</t>
        </is>
      </c>
      <c r="F3" s="8" t="inlineStr">
        <is>
          <t>Resultado</t>
        </is>
      </c>
      <c r="G3" s="8" t="inlineStr">
        <is>
          <t>ID fuente que salió de ahí</t>
        </is>
      </c>
      <c r="H3" s="8" t="inlineStr">
        <is>
          <t>Qué aprendieron</t>
        </is>
      </c>
    </row>
    <row r="4" ht="52" customHeight="1">
      <c r="A4" s="9" t="inlineStr">
        <is>
          <t>1</t>
        </is>
      </c>
      <c r="B4" s="9" t="inlineStr">
        <is>
          <t>Claude</t>
        </is>
      </c>
      <c r="C4" s="9" t="inlineStr">
        <is>
          <t>Encontrar una fuente abierta y sin llave que mida cuánto interés despierta Medellín fuera de la ciudad</t>
        </is>
      </c>
      <c r="D4" s="9" t="inlineStr">
        <is>
          <t>Propuso Google Trends y la API de vistas de Wikipedia</t>
        </is>
      </c>
      <c r="E4" s="9" t="inlineStr">
        <is>
          <t>Probamos las dos: Google Trends no tiene API abierta ni licencia de reutilización; la de Wikipedia respondió con curl y declara CC0</t>
        </is>
      </c>
      <c r="F4" s="9" t="inlineStr">
        <is>
          <t>Parcial</t>
        </is>
      </c>
      <c r="G4" s="9" t="inlineStr">
        <is>
          <t>F01</t>
        </is>
      </c>
      <c r="H4" s="9" t="inlineStr">
        <is>
          <t>Que la IA nombre una fuente no quiere decir que se pueda usar: la licencia y el acceso se comprueban uno mismo.</t>
        </is>
      </c>
    </row>
    <row r="5">
      <c r="A5" s="10" t="n">
        <v>1</v>
      </c>
      <c r="B5" s="10" t="inlineStr">
        <is>
          <t>Claude</t>
        </is>
      </c>
      <c r="C5" s="10" t="inlineStr">
        <is>
          <t>Encontrar una fuente abierta y sin llave que mida cuánto interés despierta Milán fuera de Italia</t>
        </is>
      </c>
      <c r="D5" s="10" t="inlineStr">
        <is>
          <t>Propuso Google Trends y la API de vistas de Wikipedia</t>
        </is>
      </c>
      <c r="E5" s="10" t="inlineStr">
        <is>
          <t>Probamos las dos: Google Trends no tiene API abierta ni licencia de reutilización; la de Wikimedia respondió con curl y declara CC0</t>
        </is>
      </c>
      <c r="F5" s="10" t="inlineStr">
        <is>
          <t>Parcial</t>
        </is>
      </c>
      <c r="G5" s="10" t="inlineStr">
        <is>
          <t>F09</t>
        </is>
      </c>
      <c r="H5" s="10" t="inlineStr">
        <is>
          <t>Que la IA mencione una fuente no implica que se pueda usar: la licencia y el acceso se auditan empíricamente.</t>
        </is>
      </c>
    </row>
    <row r="6">
      <c r="A6" s="10" t="n">
        <v>2</v>
      </c>
      <c r="B6" s="10" t="inlineStr">
        <is>
          <t>Claude Code / Antigravity</t>
        </is>
      </c>
      <c r="C6" s="10" t="inlineStr">
        <is>
          <t>Localizar la escala y subdivisión territorial oficial de Milán para estructurar el gemelo urbano</t>
        </is>
      </c>
      <c r="D6" s="10" t="inlineStr">
        <is>
          <t>Sugirió buscar por 'distretti' genéricos o comunas metropolitanas</t>
        </is>
      </c>
      <c r="E6" s="10" t="inlineStr">
        <is>
          <t>Consultamos la documentación oficial del Comune di Milano y descubrimos que la unidad oficial de planificación son los 88 NIL (Nuclei di Identità Locale) aprobados por el PGT 2030</t>
        </is>
      </c>
      <c r="F6" s="10" t="inlineStr">
        <is>
          <t>Parcial</t>
        </is>
      </c>
      <c r="G6" s="10" t="inlineStr">
        <is>
          <t>F01</t>
        </is>
      </c>
      <c r="H6" s="10" t="inlineStr">
        <is>
          <t>Milán no divide su planificación territorial en distritos genéricos como Lima; su unidad oficial normativa aprobada en el PGT son los NIL.</t>
        </is>
      </c>
    </row>
    <row r="7">
      <c r="A7" s="10" t="n">
        <v>3</v>
      </c>
      <c r="B7" s="10" t="inlineStr">
        <is>
          <t>Claude Code / Antigravity</t>
        </is>
      </c>
      <c r="C7" s="10" t="inlineStr">
        <is>
          <t>Encontrar una API oficial en tiempo real de calidad del aire para Milán</t>
        </is>
      </c>
      <c r="D7" s="10" t="inlineStr">
        <is>
          <t>Inventó un endpoint inexistente: https://dati.comune.milano.it/api/v1/airquality/stations.json</t>
        </is>
      </c>
      <c r="E7" s="10" t="inlineStr">
        <is>
          <t>Probamos la URL con curl y devolvió error HTTP 404; auditamos el catálogo CKAN oficial hasta encontrar el recurso vigente ds2969 (septiembre 2026)</t>
        </is>
      </c>
      <c r="F7" s="10" t="inlineStr">
        <is>
          <t>Inventado</t>
        </is>
      </c>
      <c r="G7" s="10" t="inlineStr">
        <is>
          <t>F06</t>
        </is>
      </c>
      <c r="H7" s="10" t="inlineStr">
        <is>
          <t>Los modelos de lenguaje inventan rutas REST verosímiles; ninguna URL entra al catálogo sin comprobarse en la terminal.</t>
        </is>
      </c>
    </row>
    <row r="8">
      <c r="A8" s="10" t="n">
        <v>4</v>
      </c>
      <c r="B8" s="10" t="inlineStr">
        <is>
          <t>Claude Code / Antigravity</t>
        </is>
      </c>
      <c r="C8" s="10" t="inlineStr">
        <is>
          <t>Escribir el script de ingesta de consultas mensuales en Wikipedia para Milán</t>
        </is>
      </c>
      <c r="D8" s="10" t="inlineStr">
        <is>
          <t>Entregó código estándar con urllib pero con la URL sin codificar para caracteres especiales ('Milán')</t>
        </is>
      </c>
      <c r="E8" s="10" t="inlineStr">
        <is>
          <t>La API de Wikimedia falló con página de desambiguación; se corrigió agregando urllib.parse.quote y resolviendo el título canónico normalizado</t>
        </is>
      </c>
      <c r="F8" s="10" t="inlineStr">
        <is>
          <t>Parcial</t>
        </is>
      </c>
      <c r="G8" s="10" t="inlineStr">
        <is>
          <t>F09</t>
        </is>
      </c>
      <c r="H8" s="10" t="inlineStr">
        <is>
          <t>Los títulos con tildes y caracteres especiales requieren codificación canónica de URL para garantizar reproducibilidad.</t>
        </is>
      </c>
    </row>
    <row r="9">
      <c r="A9" s="10" t="n">
        <v>5</v>
      </c>
      <c r="B9" s="10" t="inlineStr">
        <is>
          <t>Claude Code / Antigravity</t>
        </is>
      </c>
      <c r="C9" s="10" t="inlineStr">
        <is>
          <t>Generar expresión regular para verificar ausencia de datos personales (PII) en el lago</t>
        </is>
      </c>
      <c r="D9" s="10" t="inlineStr">
        <is>
          <t>Propuso un regex diseñado exclusivamente para números celulares de Colombia (3\d{9})</t>
        </is>
      </c>
      <c r="E9" s="10" t="inlineStr">
        <is>
          <t>Nos dimos cuenta de que dejaría pasar números italianos; lo corregimos incorporando prefijos internacionales y móviles de Italia ((?:\+39\s?)?3\d{8,9})</t>
        </is>
      </c>
      <c r="F9" s="10" t="inlineStr">
        <is>
          <t>Parcial</t>
        </is>
      </c>
      <c r="G9" s="10" t="inlineStr">
        <is>
          <t>F10</t>
        </is>
      </c>
      <c r="H9" s="10" t="inlineStr">
        <is>
          <t>Las políticas y filtros de seguridad como código deben ajustarse a la normativa y territorio del sistema que se gobierna.</t>
        </is>
      </c>
    </row>
    <row r="10">
      <c r="A10" s="10" t="n">
        <v>6</v>
      </c>
      <c r="B10" s="10" t="inlineStr">
        <is>
          <t>ChatGPT-4o</t>
        </is>
      </c>
      <c r="C10" s="10" t="inlineStr">
        <is>
          <t>Rastrear telemetría de consumo eléctrico y gas en tiempo real por cada barrio (NIL) de Milán</t>
        </is>
      </c>
      <c r="D10" s="10" t="inlineStr">
        <is>
          <t>Afirmó que la empresa de servicios públicos A2A publicaba una API REST abierta en a2a.eu/opendata/energy-nil.json</t>
        </is>
      </c>
      <c r="E10" s="10" t="inlineStr">
        <is>
          <t>Se probó con curl: el dominio devolvió HTTP 404 y tras contactar el portal se constató que la telemetría energética es información comercial reservada</t>
        </is>
      </c>
      <c r="F10" s="10" t="inlineStr">
        <is>
          <t>Inventado</t>
        </is>
      </c>
      <c r="G10" s="10" t="inlineStr">
        <is>
          <t>F07</t>
        </is>
      </c>
      <c r="H10" s="10" t="inlineStr">
        <is>
          <t>La IA inventa accesos abiertos para datos que son privados o comerciales; obligó a diseñar la solución sustituta mediante proxies de Área B y NO2.</t>
        </is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</row>
    <row r="45">
      <c r="A45" s="15" t="inlineStr">
        <is>
          <t>6</t>
        </is>
      </c>
      <c r="B45" s="15" t="inlineStr">
        <is>
          <t>Claude Code / Antigravity</t>
        </is>
      </c>
      <c r="C45" s="15" t="inlineStr">
        <is>
          <t>Auditar y verificar el cálculo de superficie territorial de los 88 NIL de Milán</t>
        </is>
      </c>
      <c r="D45" s="15" t="inlineStr">
        <is>
          <t>Inicialmente la IA propuso calcular el área en Python aplicando Shoelace directamente sobre coordenadas de latitud/longitud en WGS84 (EPSG:4326), produciendo valores en grados cuadrados (0.00027 deg²).</t>
        </is>
      </c>
      <c r="E45" s="15" t="inlineStr">
        <is>
          <t>Detectamos el error metodológico y de unidades; le exigimos reprogramar el cálculo implementando la reproyección cartográfica rigurosa Transversa de Mercator a UTM Zona 32N (EPSG:32632 métrico), logrando coincidencia exacta al milímetro con el PGT 2030 oficial (2.34 km² para Duomo).</t>
        </is>
      </c>
    </row>
    <row r="46">
      <c r="A46" s="15" t="inlineStr">
        <is>
          <t>7</t>
        </is>
      </c>
      <c r="B46" s="15" t="inlineStr">
        <is>
          <t>Claude Code / Antigravity</t>
        </is>
      </c>
      <c r="C46" s="15" t="inlineStr">
        <is>
          <t>Estructurar la ingesta y documentación de las fuentes de movilidad ciclista (F05), varchi de bajas emisiones (F07) y turismo (F08)</t>
        </is>
      </c>
      <c r="D46" s="15" t="inlineStr">
        <is>
          <t>Generó esquemas planos sin tipologías de segregación vial ni georreferenciación de puntos de control ambiental de Área B.</t>
        </is>
      </c>
      <c r="E46" s="15" t="inlineStr">
        <is>
          <t>Corregimos exigiendo la conversión vectorial GeoJSON completa de los itinerarios ciclistas, las 188 cámaras de control perimetral y la documentación estricta de todos sus campos en el diccionario según el mandato 'lo que no está en el diccionario no existe'.</t>
        </is>
      </c>
    </row>
    <row r="47">
      <c r="A47" s="15" t="inlineStr">
        <is>
          <t>8</t>
        </is>
      </c>
      <c r="B47" s="15" t="inlineStr">
        <is>
          <t>Claude Code / Antigravity</t>
        </is>
      </c>
      <c r="C47" s="15" t="inlineStr">
        <is>
          <t>Ampliar el rastreo de fuentes de 11 a más de 20 para posibilitar la comparación multidimensional de los 88 NIL</t>
        </is>
      </c>
      <c r="D47" s="15" t="inlineStr">
        <is>
          <t>Sugirió indicadores genéricos de nivel nacional italiano (ISTAT regional) sin desglose barrial.</t>
        </is>
      </c>
      <c r="E47" s="15" t="inlineStr">
        <is>
          <t>Rechazamos las propuestas macro y guiamos el rastreo exclusivamente a datasets abiertos del Comune di Milano a escala de NIL (demografía POSAS, cobertura de parques, paradas de metro ATM y vulnerabilidad PGT 2030), consolidando 24 fuentes con sus estados (integradas, candidatas, descartadas y caídas).</t>
        </is>
      </c>
    </row>
  </sheetData>
  <dataValidations count="1">
    <dataValidation sqref="F5:F44" showDropDown="0" showInputMessage="0" showErrorMessage="0" allowBlank="1" error="Elijan una opción de la lista" type="list">
      <formula1>"Correcto,Parcial,Incorrecto,Inventado"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10" defaultColWidth="8.83203125" defaultRowHeight="15" outlineLevelCol="0"/>
  <cols>
    <col width="48" customWidth="1" min="1" max="1"/>
    <col width="14" customWidth="1" min="2" max="2"/>
  </cols>
  <sheetData>
    <row r="1" ht="18" customHeight="1">
      <c r="A1" s="6" t="inlineStr">
        <is>
          <t>Resumen del lago</t>
        </is>
      </c>
    </row>
    <row r="2">
      <c r="A2" s="7" t="inlineStr">
        <is>
          <t>Se calcula solo desde las otras hojas; no cuenta las filas de ejemplo (fila 4).</t>
        </is>
      </c>
    </row>
    <row r="4">
      <c r="A4" s="11" t="inlineStr">
        <is>
          <t>Fuentes registradas</t>
        </is>
      </c>
      <c r="B4" s="12">
        <f>COUNTA('1. Fuentes'!A5:A40)</f>
        <v/>
      </c>
    </row>
    <row r="5">
      <c r="A5" s="13" t="inlineStr">
        <is>
          <t xml:space="preserve">  · integradas al lago</t>
        </is>
      </c>
      <c r="B5" s="12">
        <f>COUNTIF('1. Fuentes'!N5:N40, "integrado")</f>
        <v/>
      </c>
    </row>
    <row r="6">
      <c r="A6" s="13" t="inlineStr">
        <is>
          <t xml:space="preserve">  · candidatas</t>
        </is>
      </c>
      <c r="B6" s="12">
        <f>COUNTIF('1. Fuentes'!N5:N40, "candidata")</f>
        <v/>
      </c>
    </row>
    <row r="7">
      <c r="A7" s="13" t="inlineStr">
        <is>
          <t xml:space="preserve">  · que no responden</t>
        </is>
      </c>
      <c r="B7" s="12">
        <f>COUNTIF('1. Fuentes'!N5:N40, "no responde")</f>
        <v/>
      </c>
    </row>
    <row r="8">
      <c r="A8" s="13" t="inlineStr">
        <is>
          <t xml:space="preserve">  · que no existen (inventadas por la IA)</t>
        </is>
      </c>
      <c r="B8" s="12">
        <f>COUNTIF('1. Fuentes'!N5:N40, "descartada")</f>
        <v/>
      </c>
    </row>
    <row r="9">
      <c r="A9" s="13" t="inlineStr">
        <is>
          <t xml:space="preserve">  · descartadas</t>
        </is>
      </c>
      <c r="B9" s="12">
        <f>COUNTIF('1. Fuentes'!N5:N44,"Descartada")</f>
        <v/>
      </c>
    </row>
    <row r="10">
      <c r="A10" s="11" t="inlineStr">
        <is>
          <t>Fuentes con licencia «no declara» o vacía</t>
        </is>
      </c>
      <c r="B10" s="12">
        <f>COUNTIF('1. Fuentes'!H5:H44,"no declara")+COUNTIFS('1. Fuentes'!A5:A44,"&lt;&gt;",'1. Fuentes'!H5:H44,"")</f>
        <v/>
      </c>
    </row>
    <row r="11">
      <c r="A11" s="11" t="inlineStr">
        <is>
          <t>Fuentes con personas identificables o texto libre</t>
        </is>
      </c>
      <c r="B11" s="12">
        <f>COUNTA('2. Diccionario'!A5:A50)</f>
        <v/>
      </c>
    </row>
    <row r="12">
      <c r="A12" s="11" t="inlineStr">
        <is>
          <t>Campos en el diccionario</t>
        </is>
      </c>
      <c r="B12" s="12">
        <f>COUNTA('2. Diccionario'!C5:C44)</f>
        <v/>
      </c>
    </row>
    <row r="13">
      <c r="A13" s="13" t="inlineStr">
        <is>
          <t xml:space="preserve">  · clasificados como sensibles o dato personal</t>
        </is>
      </c>
      <c r="B13" s="12">
        <f>COUNTIF('2. Diccionario'!K5:K44,"Sensible")+COUNTIF('2. Diccionario'!K5:K44,"Dato personal")</f>
        <v/>
      </c>
    </row>
    <row r="14">
      <c r="A14" s="13" t="inlineStr">
        <is>
          <t xml:space="preserve">  · sin pregunta del sistema asociada</t>
        </is>
      </c>
      <c r="B14" s="12">
        <f>COUNTIFS('2. Diccionario'!C5:C44,"&lt;&gt;",'2. Diccionario'!M5:M44,"")</f>
        <v/>
      </c>
    </row>
    <row r="15">
      <c r="A15" s="11" t="inlineStr">
        <is>
          <t>Encargos a la IA registrados</t>
        </is>
      </c>
      <c r="B15" s="12">
        <f>COUNTA('3. Bitácora IA'!C5:C44)</f>
        <v/>
      </c>
    </row>
    <row r="16">
      <c r="A16" s="13" t="inlineStr">
        <is>
          <t xml:space="preserve">  · con respuesta incorrecta o inventada</t>
        </is>
      </c>
      <c r="B16" s="12">
        <f>COUNTIF('3. Bitácora IA'!F5:F44,"Incorrecto")+COUNTIF('3. Bitácora IA'!F5:F44,"Inventado")</f>
        <v/>
      </c>
    </row>
    <row r="17">
      <c r="A17" s="11" t="inlineStr">
        <is>
          <t>Porcentaje de aciertos plenos de la IA</t>
        </is>
      </c>
      <c r="B17" s="14">
        <f>IF(B15=0,"-",COUNTIF('3. Bitácora IA'!F5:F44,"Correcto")/B15)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2026-09-28T11:22:59Z</dcterms:created>
  <dcterms:modified xsi:type="dcterms:W3CDTF">2026-10-26T18:33:01Z</dcterms:modified>
  <cp:lastModifiedBy>Santiago Jimenez Londono</cp:lastModifiedBy>
</cp:coreProperties>
</file>