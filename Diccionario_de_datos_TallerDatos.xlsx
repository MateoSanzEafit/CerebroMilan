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1620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1. Fuentes" sheetId="2" state="visible" r:id="rId2"/>
    <sheet xmlns:r="http://schemas.openxmlformats.org/officeDocument/2006/relationships" name="2. Diccionario" sheetId="3" state="visible" r:id="rId3"/>
    <sheet xmlns:r="http://schemas.openxmlformats.org/officeDocument/2006/relationships" name="3. Bitácora IA" sheetId="4" state="visible" r:id="rId4"/>
    <sheet xmlns:r="http://schemas.openxmlformats.org/officeDocument/2006/relationships" name="Resumen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family val="2"/>
      <b val="1"/>
      <color rgb="FF000000"/>
      <sz val="14"/>
    </font>
    <font>
      <name val="Arial"/>
      <family val="2"/>
      <color rgb="FF55555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1"/>
    </font>
    <font>
      <name val="Arial"/>
      <family val="2"/>
      <b val="1"/>
      <sz val="14"/>
    </font>
    <font>
      <name val="Arial"/>
      <family val="2"/>
      <i val="1"/>
      <color rgb="FF555555"/>
      <sz val="9"/>
    </font>
    <font>
      <name val="Arial"/>
      <family val="2"/>
      <b val="1"/>
      <color rgb="FFFFFFFF"/>
      <sz val="10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</fonts>
  <fills count="5">
    <fill>
      <patternFill/>
    </fill>
    <fill>
      <patternFill patternType="gray125"/>
    </fill>
    <fill>
      <patternFill patternType="solid">
        <fgColor rgb="FFFFF7CC"/>
      </patternFill>
    </fill>
    <fill>
      <patternFill patternType="solid">
        <fgColor rgb="FF1F1F1F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0" fontId="10" fillId="0" borderId="0" pivotButton="0" quotePrefix="0" xfId="0"/>
    <xf numFmtId="0" fontId="9" fillId="0" borderId="1" pivotButton="0" quotePrefix="0" xfId="0"/>
    <xf numFmtId="0" fontId="9" fillId="0" borderId="0" pivotButton="0" quotePrefix="0" xfId="0"/>
    <xf numFmtId="9" fontId="9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1"/>
  <sheetViews>
    <sheetView tabSelected="1" workbookViewId="0">
      <selection activeCell="A1" sqref="A1"/>
    </sheetView>
  </sheetViews>
  <sheetFormatPr baseColWidth="10" defaultColWidth="8.83203125" defaultRowHeight="15"/>
  <cols>
    <col width="4" customWidth="1" min="1" max="1"/>
    <col width="110" customWidth="1" min="2" max="2"/>
  </cols>
  <sheetData>
    <row r="1" ht="19" customHeight="1">
      <c r="B1" s="1" t="inlineStr">
        <is>
          <t>Taller de datos · Entrega 1 · El lago y su diccionario</t>
        </is>
      </c>
    </row>
    <row r="2">
      <c r="B2" s="2" t="inlineStr">
        <is>
          <t>Tópicos de Sistemas de Información · Profesor Santiago Jiménez Londoño · topicos-si.vercel.app/Tallerdatos</t>
        </is>
      </c>
    </row>
    <row r="3">
      <c r="B3" s="3" t="n"/>
    </row>
    <row r="4" ht="16" customHeight="1">
      <c r="B4" s="4" t="inlineStr">
        <is>
          <t>Milán (Milano, Italia)</t>
        </is>
      </c>
    </row>
    <row r="5">
      <c r="B5" s="5" t="inlineStr">
        <is>
          <t>Ciudad elegida:</t>
        </is>
      </c>
    </row>
    <row r="6">
      <c r="B6" s="5" t="inlineStr">
        <is>
          <t>Integrantes:</t>
        </is>
      </c>
    </row>
    <row r="7">
      <c r="B7" s="5" t="inlineStr">
        <is>
          <t>Enlace al repositorio o a la carpeta del lago:</t>
        </is>
      </c>
    </row>
    <row r="8">
      <c r="B8" s="3" t="n"/>
    </row>
    <row r="9" ht="16" customHeight="1">
      <c r="B9" s="4" t="inlineStr">
        <is>
          <t>Qué entregan en este archivo</t>
        </is>
      </c>
    </row>
    <row r="10" ht="29" customHeight="1">
      <c r="B10" s="3" t="inlineStr">
        <is>
          <t>1. Fuentes · una fila por cada fuente que encontraron en el rastreo, entre o no al lago. Las descartadas también cuentan: explican las decisiones.</t>
        </is>
      </c>
    </row>
    <row r="11">
      <c r="B11" s="3" t="inlineStr">
        <is>
          <t>2. Diccionario · una fila por cada campo (columna o clave del JSON) que quedó en el lago. Si un campo no está aquí, no existe.</t>
        </is>
      </c>
    </row>
    <row r="12">
      <c r="B12" s="3" t="inlineStr">
        <is>
          <t>3. Bitácora IA · qué le encargaron a la IA durante la búsqueda, qué respondió y cómo lo comprobaron.</t>
        </is>
      </c>
    </row>
    <row r="13">
      <c r="B13" s="3" t="inlineStr">
        <is>
          <t>Resumen · se llena solo con fórmulas. No lo editen.</t>
        </is>
      </c>
    </row>
    <row r="14">
      <c r="B14" s="3" t="n"/>
    </row>
    <row r="15" ht="16" customHeight="1">
      <c r="B15" s="4" t="inlineStr">
        <is>
          <t>Cómo llenarlo</t>
        </is>
      </c>
    </row>
    <row r="16" ht="29" customHeight="1">
      <c r="B16" s="3" t="inlineStr">
        <is>
          <t>• Escriban solo en las celdas amarillas. La fila gris de cada hoja es un ejemplo (Medellín): pueden borrarla o dejarla, el resumen no la cuenta.</t>
        </is>
      </c>
    </row>
    <row r="17">
      <c r="B17" s="3" t="inlineStr">
        <is>
          <t>• El ID de fuente (F01, F02…) une las tres hojas: úsenlo igual en Fuentes, Diccionario y Bitácora IA.</t>
        </is>
      </c>
    </row>
    <row r="18">
      <c r="B18" s="3" t="inlineStr">
        <is>
          <t>• Las columnas con lista desplegable solo aceptan esas opciones.</t>
        </is>
      </c>
    </row>
    <row r="19">
      <c r="B19" s="3" t="inlineStr">
        <is>
          <t>• La licencia se copia tal como aparece en la fuente. Si la fuente no dice nada, escriban «no declara»: no la supongan.</t>
        </is>
      </c>
    </row>
    <row r="20">
      <c r="B20" s="3" t="inlineStr">
        <is>
          <t>• «Fecha en que la probaron» es el día en que la descarga o la API respondió de verdad, no el día en que la IA la mencionó.</t>
        </is>
      </c>
    </row>
    <row r="21">
      <c r="B21" s="3" t="inlineStr">
        <is>
          <t>• Una fuente que la IA nombró y que ustedes no pudieron abrir va igual en Fuentes, con estado «No responde» o «No existe».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8" customWidth="1" min="2" max="2"/>
    <col width="22" customWidth="1" min="3" max="3"/>
    <col width="18" customWidth="1" min="4" max="4"/>
    <col width="36" customWidth="1" min="5" max="5"/>
    <col width="12" customWidth="1" min="6" max="6"/>
    <col width="18" customWidth="1" min="7" max="7"/>
    <col width="22" customWidth="1" min="8" max="8"/>
    <col width="18" customWidth="1" min="9" max="9"/>
    <col width="16" customWidth="1" min="10" max="10"/>
    <col width="14" customWidth="1" min="11" max="13"/>
    <col width="20" customWidth="1" min="14" max="14"/>
    <col width="26" customWidth="1" min="15" max="15"/>
    <col width="32" customWidth="1" min="16" max="16"/>
  </cols>
  <sheetData>
    <row r="1" ht="18" customHeight="1">
      <c r="A1" s="6" t="inlineStr">
        <is>
          <t>1. Catálogo de fuentes</t>
        </is>
      </c>
    </row>
    <row r="2">
      <c r="A2" s="7" t="inlineStr">
        <is>
          <t>Una fila por fuente encontrada. Escriban en las celdas amarillas; la fila gris es un ejemplo.</t>
        </is>
      </c>
    </row>
    <row r="3" ht="42" customHeight="1">
      <c r="A3" s="8" t="inlineStr">
        <is>
          <t>ID fuente</t>
        </is>
      </c>
      <c r="B3" s="8" t="inlineStr">
        <is>
          <t>Nombre del conjunto de datos</t>
        </is>
      </c>
      <c r="C3" s="8" t="inlineStr">
        <is>
          <t>Entidad que lo publica</t>
        </is>
      </c>
      <c r="D3" s="8" t="inlineStr">
        <is>
          <t>Tipo de publicador</t>
        </is>
      </c>
      <c r="E3" s="8" t="inlineStr">
        <is>
          <t>URL exacta (descarga o API)</t>
        </is>
      </c>
      <c r="F3" s="8" t="inlineStr">
        <is>
          <t>Formato</t>
        </is>
      </c>
      <c r="G3" s="8" t="inlineStr">
        <is>
          <t>Cómo se obtiene</t>
        </is>
      </c>
      <c r="H3" s="8" t="inlineStr">
        <is>
          <t>Licencia (tal como aparece)</t>
        </is>
      </c>
      <c r="I3" s="8" t="inlineStr">
        <is>
          <t>¿Trae datos de personas?</t>
        </is>
      </c>
      <c r="J3" s="8" t="inlineStr">
        <is>
          <t>Cobertura geográfica</t>
        </is>
      </c>
      <c r="K3" s="8" t="inlineStr">
        <is>
          <t>Periodo que cubre</t>
        </is>
      </c>
      <c r="L3" s="8" t="inlineStr">
        <is>
          <t>Frecuencia de actualización</t>
        </is>
      </c>
      <c r="M3" s="8" t="inlineStr">
        <is>
          <t>Fecha en que la probaron (AAAA-MM-DD)</t>
        </is>
      </c>
      <c r="N3" s="8" t="inlineStr">
        <is>
          <t>Estado</t>
        </is>
      </c>
      <c r="O3" s="8" t="inlineStr">
        <is>
          <t>Cómo la encontraron (IA o búsqueda)</t>
        </is>
      </c>
      <c r="P3" s="8" t="inlineStr">
        <is>
          <t>Observaciones</t>
        </is>
      </c>
    </row>
    <row r="4" ht="52" customHeight="1">
      <c r="A4" s="9" t="inlineStr">
        <is>
          <t>F01</t>
        </is>
      </c>
      <c r="B4" s="9" t="inlineStr">
        <is>
          <t>Vistas mensuales del artículo «Medellín» en Wikipedia</t>
        </is>
      </c>
      <c r="C4" s="9" t="inlineStr">
        <is>
          <t>Wikimedia Foundation</t>
        </is>
      </c>
      <c r="D4" s="9" t="inlineStr">
        <is>
          <t>Plataforma colaborativa</t>
        </is>
      </c>
      <c r="E4" s="9" t="inlineStr">
        <is>
          <t>https://wikimedia.org/api/rest_v1/metrics/pageviews/per-article/es.wikipedia/all-access/user/Medellín/monthly/20250101/20260831</t>
        </is>
      </c>
      <c r="F4" s="9" t="inlineStr">
        <is>
          <t>JSON</t>
        </is>
      </c>
      <c r="G4" s="9" t="inlineStr">
        <is>
          <t>API sin llave</t>
        </is>
      </c>
      <c r="H4" s="9" t="inlineStr">
        <is>
          <t>CC0</t>
        </is>
      </c>
      <c r="I4" s="9" t="inlineStr">
        <is>
          <t>No</t>
        </is>
      </c>
      <c r="J4" s="9" t="inlineStr">
        <is>
          <t>Ciudad (artículo)</t>
        </is>
      </c>
      <c r="K4" s="9" t="inlineStr">
        <is>
          <t>2025-01 a 2026-08</t>
        </is>
      </c>
      <c r="L4" s="9" t="inlineStr">
        <is>
          <t>Mensual</t>
        </is>
      </c>
      <c r="M4" s="9" t="inlineStr">
        <is>
          <t>2026-09-14</t>
        </is>
      </c>
      <c r="N4" s="9" t="inlineStr">
        <is>
          <t>Integrada al lago</t>
        </is>
      </c>
      <c r="O4" s="9" t="inlineStr">
        <is>
          <t>Se la pedimos a la IA como «fuente de interés público sobre la ciudad»; la probamos con curl</t>
        </is>
      </c>
      <c r="P4" s="9" t="inlineStr">
        <is>
          <t>Cuenta personas, no bots (agente «user»).</t>
        </is>
      </c>
    </row>
    <row r="5">
      <c r="A5" s="10" t="inlineStr">
        <is>
          <t>F01</t>
        </is>
      </c>
      <c r="B5" s="10" t="inlineStr">
        <is>
          <t>Nuclei d'Identità Locale (NIL) VIGENTI - PGT 2030</t>
        </is>
      </c>
      <c r="C5" s="10" t="inlineStr">
        <is>
          <t>Comune di Milano</t>
        </is>
      </c>
      <c r="D5" s="10" t="inlineStr">
        <is>
          <t>Entidad pública</t>
        </is>
      </c>
      <c r="E5" s="10" t="inlineStr">
        <is>
          <t>https://dati.comune.milano.it/dataset/e8e765fc-d882-40b8-95d8-16ff3d39eb7c/resource/3fce7202-0076-4a7b-ac2c-d2ab9b5dc658/download/ds964_nil_wm_4326.csv</t>
        </is>
      </c>
      <c r="F5" s="10" t="inlineStr">
        <is>
          <t>CSV</t>
        </is>
      </c>
      <c r="G5" s="10" t="inlineStr">
        <is>
          <t>Descarga directa</t>
        </is>
      </c>
      <c r="H5" s="10" t="inlineStr">
        <is>
          <t>IODL 2.0 (Italian Open Data License)</t>
        </is>
      </c>
      <c r="I5" s="10" t="inlineStr">
        <is>
          <t>No</t>
        </is>
      </c>
      <c r="J5" s="10" t="inlineStr">
        <is>
          <t>88 NIL (Ciudad de Milán)</t>
        </is>
      </c>
      <c r="K5" s="10" t="inlineStr">
        <is>
          <t>2020 - Vigente</t>
        </is>
      </c>
      <c r="L5" s="10" t="inlineStr">
        <is>
          <t>Única vez</t>
        </is>
      </c>
      <c r="M5" s="10" t="inlineStr">
        <is>
          <t>2026-09-28</t>
        </is>
      </c>
      <c r="N5" s="10" t="inlineStr">
        <is>
          <t>Integrada al lago</t>
        </is>
      </c>
      <c r="O5" s="10" t="inlineStr">
        <is>
          <t>Búsqueda en catálogo oficial CKAN (name:nil)</t>
        </is>
      </c>
      <c r="P5" s="10" t="inlineStr">
        <is>
          <t>Malla territorial oficial de los 88 barrios/núcleos con centroides WGS84 (EPSG:4326). Base geométrica del gemelo.</t>
        </is>
      </c>
    </row>
    <row r="6">
      <c r="A6" s="10" t="inlineStr">
        <is>
          <t>F02</t>
        </is>
      </c>
      <c r="B6" s="10" t="inlineStr">
        <is>
          <t>Famiglie anagrafiche residenti per NIL (1999-2025)</t>
        </is>
      </c>
      <c r="C6" s="10" t="inlineStr">
        <is>
          <t>Comune di Milano - Area Servizi Demografici</t>
        </is>
      </c>
      <c r="D6" s="10" t="inlineStr">
        <is>
          <t>Entidad pública</t>
        </is>
      </c>
      <c r="E6" s="10" t="inlineStr">
        <is>
          <t>https://dati.comune.milano.it/dataset/e2f3d14b-c4eb-40cd-926c-61c07bd30a3f/resource/ef2a810e-2702-4083-8d94-c54f04552fc0/download/ds1440_popolazione_residenti_famiglie_quartiere.zip</t>
        </is>
      </c>
      <c r="F6" s="10" t="inlineStr">
        <is>
          <t>CSV</t>
        </is>
      </c>
      <c r="G6" s="10" t="inlineStr">
        <is>
          <t>Descarga directa</t>
        </is>
      </c>
      <c r="H6" s="10" t="inlineStr">
        <is>
          <t>Creative Commons Attribution</t>
        </is>
      </c>
      <c r="I6" s="10" t="inlineStr">
        <is>
          <t>Solo conteos por zona</t>
        </is>
      </c>
      <c r="J6" s="10" t="inlineStr">
        <is>
          <t>88 NIL de Milán</t>
        </is>
      </c>
      <c r="K6" s="10" t="inlineStr">
        <is>
          <t>1999 - 2025</t>
        </is>
      </c>
      <c r="L6" s="10" t="inlineStr">
        <is>
          <t>Anual</t>
        </is>
      </c>
      <c r="M6" s="10" t="inlineStr">
        <is>
          <t>2026-09-28</t>
        </is>
      </c>
      <c r="N6" s="10" t="inlineStr">
        <is>
          <t>Integrada al lago</t>
        </is>
      </c>
      <c r="O6" s="10" t="inlineStr">
        <is>
          <t>Búsqueda por API CKAN (popolazione NIL)</t>
        </is>
      </c>
      <c r="P6" s="10" t="inlineStr">
        <is>
          <t>Serie histórica de residentes y familias por barrio. Responde a la pregunta de densidad demográfica y presión residencial.</t>
        </is>
      </c>
    </row>
    <row r="7">
      <c r="A7" s="10" t="inlineStr">
        <is>
          <t>F03</t>
        </is>
      </c>
      <c r="B7" s="10" t="inlineStr">
        <is>
          <t>Mobilità: incidenti stradali e persone infortunate per mese e zona</t>
        </is>
      </c>
      <c r="C7" s="10" t="inlineStr">
        <is>
          <t>Comune di Milano - Polizia Locale</t>
        </is>
      </c>
      <c r="D7" s="10" t="inlineStr">
        <is>
          <t>Entidad pública</t>
        </is>
      </c>
      <c r="E7" s="10" t="inlineStr">
        <is>
          <t>https://dati.comune.milano.it/dataset/9f7bcc9c-20a4-4e48-a7cd-99b15ed11102/resource/45b317ca-710a-4a9e-b81b-f380c24d8398/download/ds177_trafficotrasporti_incidenti_stradali.csv</t>
        </is>
      </c>
      <c r="F7" s="10" t="inlineStr">
        <is>
          <t>CSV</t>
        </is>
      </c>
      <c r="G7" s="10" t="inlineStr">
        <is>
          <t>Descarga directa</t>
        </is>
      </c>
      <c r="H7" s="10" t="inlineStr">
        <is>
          <t>Creative Commons Attribution</t>
        </is>
      </c>
      <c r="I7" s="10" t="inlineStr">
        <is>
          <t>Solo conteos por zona</t>
        </is>
      </c>
      <c r="J7" s="10" t="inlineStr">
        <is>
          <t>9 Municipi de Milán</t>
        </is>
      </c>
      <c r="K7" s="10" t="inlineStr">
        <is>
          <t>2001 - 2024</t>
        </is>
      </c>
      <c r="L7" s="10" t="inlineStr">
        <is>
          <t>Anual</t>
        </is>
      </c>
      <c r="M7" s="10" t="inlineStr">
        <is>
          <t>2026-09-28</t>
        </is>
      </c>
      <c r="N7" s="10" t="inlineStr">
        <is>
          <t>Integrada al lago</t>
        </is>
      </c>
      <c r="O7" s="10" t="inlineStr">
        <is>
          <t>Búsqueda CKAN (incidenti stradali)</t>
        </is>
      </c>
      <c r="P7" s="10" t="inlineStr">
        <is>
          <t>Siniestros viales clasificados en incidentes, heridos y fallecidos por mes y municipio de descentramiento.</t>
        </is>
      </c>
    </row>
    <row r="8">
      <c r="A8" s="10" t="inlineStr">
        <is>
          <t>F04</t>
        </is>
      </c>
      <c r="B8" s="10" t="inlineStr">
        <is>
          <t>Stazioni BikeMi (Bicicletas compartidas de Milán)</t>
        </is>
      </c>
      <c r="C8" s="10" t="inlineStr">
        <is>
          <t>Comune di Milano - AMAT</t>
        </is>
      </c>
      <c r="D8" s="10" t="inlineStr">
        <is>
          <t>Entidad pública</t>
        </is>
      </c>
      <c r="E8" s="10" t="inlineStr">
        <is>
          <t>https://dati.comune.milano.it/dataset/cc065002-cd21-4dcb-b84f-bba2fd9e0c86/resource/2d0bafbc-1739-4a14-9e5a-71a648e1fc5b/download/bikemi_stazioni.geojson</t>
        </is>
      </c>
      <c r="F8" s="10" t="inlineStr">
        <is>
          <t>GeoJSON</t>
        </is>
      </c>
      <c r="G8" s="10" t="inlineStr">
        <is>
          <t>Descarga directa</t>
        </is>
      </c>
      <c r="H8" s="10" t="inlineStr">
        <is>
          <t>IODL 2.0 (Italian Open Data License)</t>
        </is>
      </c>
      <c r="I8" s="10" t="inlineStr">
        <is>
          <t>No</t>
        </is>
      </c>
      <c r="J8" s="10" t="inlineStr">
        <is>
          <t>Ciudad de Milán</t>
        </is>
      </c>
      <c r="K8" s="10" t="inlineStr">
        <is>
          <t>2024 - 2026</t>
        </is>
      </c>
      <c r="L8" s="10" t="inlineStr">
        <is>
          <t>Mensual</t>
        </is>
      </c>
      <c r="M8" s="10" t="inlineStr">
        <is>
          <t>2026-09-28</t>
        </is>
      </c>
      <c r="N8" s="10" t="inlineStr">
        <is>
          <t>Integrada al lago</t>
        </is>
      </c>
      <c r="O8" s="10" t="inlineStr">
        <is>
          <t>Búsqueda CKAN (bikemi)</t>
        </is>
      </c>
      <c r="P8" s="10" t="inlineStr">
        <is>
          <t>Estaciones georreferenciadas con número de anclajes de bicis mecánicas y eléctricas para movilidad activa.</t>
        </is>
      </c>
    </row>
    <row r="9">
      <c r="A9" s="10" t="inlineStr">
        <is>
          <t>F05</t>
        </is>
      </c>
      <c r="B9" s="10" t="inlineStr">
        <is>
          <t>Itinerari e piste ciclabili di Milano</t>
        </is>
      </c>
      <c r="C9" s="10" t="inlineStr">
        <is>
          <t>Comune di Milano - Direzione Mobilità</t>
        </is>
      </c>
      <c r="D9" s="10" t="inlineStr">
        <is>
          <t>Entidad pública</t>
        </is>
      </c>
      <c r="E9" s="10" t="inlineStr">
        <is>
          <t>https://dati.comune.milano.it/dataset/ceda0264-24f3-4869-9a2d-411906f0abab/resource/56515ac3-e260-4ebb-bfce-698347f07e1e/download/bike_ciclabili.geojson</t>
        </is>
      </c>
      <c r="F9" s="10" t="inlineStr">
        <is>
          <t>GeoJSON</t>
        </is>
      </c>
      <c r="G9" s="10" t="inlineStr">
        <is>
          <t>Descarga directa</t>
        </is>
      </c>
      <c r="H9" s="10" t="inlineStr">
        <is>
          <t>IODL 2.0 (Italian Open Data License)</t>
        </is>
      </c>
      <c r="I9" s="10" t="inlineStr">
        <is>
          <t>No</t>
        </is>
      </c>
      <c r="J9" s="10" t="inlineStr">
        <is>
          <t>Ciudad de Milán</t>
        </is>
      </c>
      <c r="K9" s="10" t="inlineStr">
        <is>
          <t>2024 - 2026</t>
        </is>
      </c>
      <c r="L9" s="10" t="inlineStr">
        <is>
          <t>Anual</t>
        </is>
      </c>
      <c r="M9" s="10" t="inlineStr">
        <is>
          <t>2026-09-28</t>
        </is>
      </c>
      <c r="N9" s="10" t="inlineStr">
        <is>
          <t>Integrada al lago</t>
        </is>
      </c>
      <c r="O9" s="10" t="inlineStr">
        <is>
          <t>Búsqueda CKAN (piste ciclabili)</t>
        </is>
      </c>
      <c r="P9" s="10" t="inlineStr">
        <is>
          <t>Trazados vectoriales de carriles y pistas ciclistas. Permite contrastar oferta de movilidad limpia vs. accidentes viales.</t>
        </is>
      </c>
    </row>
    <row r="10">
      <c r="A10" s="10" t="inlineStr">
        <is>
          <t>F06</t>
        </is>
      </c>
      <c r="B10" s="10" t="inlineStr">
        <is>
          <t>Rilevazione qualità dell'aria (Stazioni fisse 2026)</t>
        </is>
      </c>
      <c r="C10" s="10" t="inlineStr">
        <is>
          <t>Comune di Milano / ARPA Lombardia</t>
        </is>
      </c>
      <c r="D10" s="10" t="inlineStr">
        <is>
          <t>Entidad pública</t>
        </is>
      </c>
      <c r="E10" s="10" t="inlineStr">
        <is>
          <t>https://dati.comune.milano.it/dataset/884b70a5-951c-4c92-931e-52a73d20af9f/resource/1af3c7d2-3456-4f7c-819a-464c989b9ed5/download/qaria_datoariagiornostazione_2026-09-26.csv</t>
        </is>
      </c>
      <c r="F10" s="10" t="inlineStr">
        <is>
          <t>CSV</t>
        </is>
      </c>
      <c r="G10" s="10" t="inlineStr">
        <is>
          <t>Descarga directa</t>
        </is>
      </c>
      <c r="H10" s="10" t="inlineStr">
        <is>
          <t>Creative Commons Attribution</t>
        </is>
      </c>
      <c r="I10" s="10" t="inlineStr">
        <is>
          <t>No</t>
        </is>
      </c>
      <c r="J10" s="10" t="inlineStr">
        <is>
          <t>Estaciones fijas de Milán</t>
        </is>
      </c>
      <c r="K10" s="10" t="inlineStr">
        <is>
          <t>2026 (al 26 de septiembre)</t>
        </is>
      </c>
      <c r="L10" s="10" t="inlineStr">
        <is>
          <t>Diaria</t>
        </is>
      </c>
      <c r="M10" s="10" t="inlineStr">
        <is>
          <t>2026-09-28</t>
        </is>
      </c>
      <c r="N10" s="10" t="inlineStr">
        <is>
          <t>Integrada al lago</t>
        </is>
      </c>
      <c r="O10" s="10" t="inlineStr">
        <is>
          <t>Búsqueda CKAN (qualita aria 2026)</t>
        </is>
      </c>
      <c r="P10" s="10" t="inlineStr">
        <is>
          <t>Monitoreo ambiental al día: niveles diarios de NO2, PM10, PM2.5 y C6H6 en estaciones urbanas.</t>
        </is>
      </c>
    </row>
    <row r="11">
      <c r="A11" s="10" t="inlineStr">
        <is>
          <t>F07</t>
        </is>
      </c>
      <c r="B11" s="10" t="inlineStr">
        <is>
          <t>Varchi Area B (Zona de Bajas Emisiones)</t>
        </is>
      </c>
      <c r="C11" s="10" t="inlineStr">
        <is>
          <t>Comune di Milano</t>
        </is>
      </c>
      <c r="D11" s="10" t="inlineStr">
        <is>
          <t>Entidad pública</t>
        </is>
      </c>
      <c r="E11" s="10" t="inlineStr">
        <is>
          <t>https://dati.comune.milano.it/dataset/cebfe28e-a50e-4b81-9d14-7b0d37170f0d/resource/c3439df3-673d-45e7-b151-c6d8d70ba0e4/download/areab_varchi.geojson</t>
        </is>
      </c>
      <c r="F11" s="10" t="inlineStr">
        <is>
          <t>GeoJSON</t>
        </is>
      </c>
      <c r="G11" s="10" t="inlineStr">
        <is>
          <t>Descarga directa</t>
        </is>
      </c>
      <c r="H11" s="10" t="inlineStr">
        <is>
          <t>IODL 2.0 (Italian Open Data License)</t>
        </is>
      </c>
      <c r="I11" s="10" t="inlineStr">
        <is>
          <t>No</t>
        </is>
      </c>
      <c r="J11" s="10" t="inlineStr">
        <is>
          <t>Perímetro urbano de Milán</t>
        </is>
      </c>
      <c r="K11" s="10" t="inlineStr">
        <is>
          <t>2024 - 2026</t>
        </is>
      </c>
      <c r="L11" s="10" t="inlineStr">
        <is>
          <t>Única vez</t>
        </is>
      </c>
      <c r="M11" s="10" t="inlineStr">
        <is>
          <t>2026-09-28</t>
        </is>
      </c>
      <c r="N11" s="10" t="inlineStr">
        <is>
          <t>Integrada al lago</t>
        </is>
      </c>
      <c r="O11" s="10" t="inlineStr">
        <is>
          <t>Búsqueda CKAN (areab varchi)</t>
        </is>
      </c>
      <c r="P11" s="10" t="inlineStr">
        <is>
          <t>Cámaras de acceso y control ambiental a la mayor zona de tráfico restringido de Italia.</t>
        </is>
      </c>
    </row>
    <row r="12">
      <c r="A12" s="10" t="inlineStr">
        <is>
          <t>F08</t>
        </is>
      </c>
      <c r="B12" s="10" t="inlineStr">
        <is>
          <t>Turismo: strutture ricettive per tipologia</t>
        </is>
      </c>
      <c r="C12" s="10" t="inlineStr">
        <is>
          <t>Comune di Milano - Settore Turismo</t>
        </is>
      </c>
      <c r="D12" s="10" t="inlineStr">
        <is>
          <t>Entidad pública</t>
        </is>
      </c>
      <c r="E12" s="10" t="inlineStr">
        <is>
          <t>https://dati.comune.milano.it/dataset/a0875e2b-229a-47ff-877b-f182c927d38a/resource/b566a67b-d991-490c-8271-1046fbfc5fbc/download/ds216_strutture-ricettive-dal-2002.csv</t>
        </is>
      </c>
      <c r="F12" s="10" t="inlineStr">
        <is>
          <t>CSV</t>
        </is>
      </c>
      <c r="G12" s="10" t="inlineStr">
        <is>
          <t>Descarga directa</t>
        </is>
      </c>
      <c r="H12" s="10" t="inlineStr">
        <is>
          <t>Creative Commons Attribution</t>
        </is>
      </c>
      <c r="I12" s="10" t="inlineStr">
        <is>
          <t>No</t>
        </is>
      </c>
      <c r="J12" s="10" t="inlineStr">
        <is>
          <t>Ciudad de Milán</t>
        </is>
      </c>
      <c r="K12" s="10" t="inlineStr">
        <is>
          <t>2002 - 2024</t>
        </is>
      </c>
      <c r="L12" s="10" t="inlineStr">
        <is>
          <t>Anual</t>
        </is>
      </c>
      <c r="M12" s="10" t="inlineStr">
        <is>
          <t>2026-09-28</t>
        </is>
      </c>
      <c r="N12" s="10" t="inlineStr">
        <is>
          <t>Integrada al lago</t>
        </is>
      </c>
      <c r="O12" s="10" t="inlineStr">
        <is>
          <t>Búsqueda CKAN (turismo ricettive)</t>
        </is>
      </c>
      <c r="P12" s="10" t="inlineStr">
        <is>
          <t>Histórico de alojamientos y camas por categoría. Sirve para evaluar presión turística sobre vivienda.</t>
        </is>
      </c>
    </row>
    <row r="13">
      <c r="A13" s="10" t="inlineStr">
        <is>
          <t>F09</t>
        </is>
      </c>
      <c r="B13" s="10" t="inlineStr">
        <is>
          <t>Vistas mensuales del artículo «Milán» en Wikipedia</t>
        </is>
      </c>
      <c r="C13" s="10" t="inlineStr">
        <is>
          <t>Wikimedia Foundation</t>
        </is>
      </c>
      <c r="D13" s="10" t="inlineStr">
        <is>
          <t>Plataforma colaborativa</t>
        </is>
      </c>
      <c r="E13" s="10" t="inlineStr">
        <is>
          <t>https://wikimedia.org/api/rest_v1/metrics/pageviews/per-article/es.wikipedia/all-access/user/Mil%C3%A1n/monthly/20250101/20260831</t>
        </is>
      </c>
      <c r="F13" s="10" t="inlineStr">
        <is>
          <t>JSON</t>
        </is>
      </c>
      <c r="G13" s="10" t="inlineStr">
        <is>
          <t>API sin llave</t>
        </is>
      </c>
      <c r="H13" s="10" t="inlineStr">
        <is>
          <t>CC0</t>
        </is>
      </c>
      <c r="I13" s="10" t="inlineStr">
        <is>
          <t>No</t>
        </is>
      </c>
      <c r="J13" s="10" t="inlineStr">
        <is>
          <t>Ciudad (artículo Wikipedia)</t>
        </is>
      </c>
      <c r="K13" s="10" t="inlineStr">
        <is>
          <t>2025-01 a 2026-08</t>
        </is>
      </c>
      <c r="L13" s="10" t="inlineStr">
        <is>
          <t>Mensual</t>
        </is>
      </c>
      <c r="M13" s="10" t="inlineStr">
        <is>
          <t>2026-09-28</t>
        </is>
      </c>
      <c r="N13" s="10" t="inlineStr">
        <is>
          <t>Integrada al lago</t>
        </is>
      </c>
      <c r="O13" s="10" t="inlineStr">
        <is>
          <t>Script de consulta curl / requests</t>
        </is>
      </c>
      <c r="P13" s="10" t="inlineStr">
        <is>
          <t>Métrica de escucha social: interés global en la ciudad, filtrando tráfico no humano (user).</t>
        </is>
      </c>
    </row>
    <row r="14">
      <c r="A14" s="10" t="inlineStr">
        <is>
          <t>F10</t>
        </is>
      </c>
      <c r="B14" s="10" t="inlineStr">
        <is>
          <t>Registro Anagrafico delle Associazioni - Municipio 9</t>
        </is>
      </c>
      <c r="C14" s="10" t="inlineStr">
        <is>
          <t>Comune di Milano</t>
        </is>
      </c>
      <c r="D14" s="10" t="inlineStr">
        <is>
          <t>Entidad pública</t>
        </is>
      </c>
      <c r="E14" s="10" t="inlineStr">
        <is>
          <t>https://dati.comune.milano.it/dataset/b47a0400-227b-4969-9b8c-33212bb607d2/resource/cff950b7-93e9-4b04-9a7d-eaceb0529aec/download/ds1341_registro_associazioni_municipio_9.csv</t>
        </is>
      </c>
      <c r="F14" s="10" t="inlineStr">
        <is>
          <t>CSV</t>
        </is>
      </c>
      <c r="G14" s="10" t="inlineStr">
        <is>
          <t>Descarga directa</t>
        </is>
      </c>
      <c r="H14" s="10" t="inlineStr">
        <is>
          <t>Creative Commons Attribution</t>
        </is>
      </c>
      <c r="I14" s="10" t="inlineStr">
        <is>
          <t>Personas identificables</t>
        </is>
      </c>
      <c r="J14" s="10" t="inlineStr">
        <is>
          <t>Municipio 9 de Milán</t>
        </is>
      </c>
      <c r="K14" s="10" t="inlineStr">
        <is>
          <t>2023</t>
        </is>
      </c>
      <c r="L14" s="10" t="inlineStr">
        <is>
          <t>Única vez</t>
        </is>
      </c>
      <c r="M14" s="10" t="inlineStr">
        <is>
          <t>2026-09-28</t>
        </is>
      </c>
      <c r="N14" s="10" t="inlineStr">
        <is>
          <t>Descartada</t>
        </is>
      </c>
      <c r="O14" s="10" t="inlineStr">
        <is>
          <t>Búsqueda asistida por IA</t>
        </is>
      </c>
      <c r="P14" s="10" t="inlineStr">
        <is>
          <t>DESCARTADA: expone nombres de directivos, correos electrónicos directos y teléfonos. Se descarta por minimización y privacidad (RGPD / Ley 1581).</t>
        </is>
      </c>
    </row>
    <row r="15">
      <c r="A15" s="10" t="inlineStr">
        <is>
          <t>F11</t>
        </is>
      </c>
      <c r="B15" s="10" t="inlineStr">
        <is>
          <t>Territorio: Nuclei d'Identità Locale (NIL) - Servicio WFS/ATOM Histórico</t>
        </is>
      </c>
      <c r="C15" s="10" t="inlineStr">
        <is>
          <t>Geoportale Comune di Milano</t>
        </is>
      </c>
      <c r="D15" s="10" t="inlineStr">
        <is>
          <t>Entidad pública</t>
        </is>
      </c>
      <c r="E15" s="10" t="inlineStr">
        <is>
          <t>https://geoportale.comune.milano.it/ATOM/SIT/NIL/NIL_Service.xml</t>
        </is>
      </c>
      <c r="F15" s="10" t="inlineStr">
        <is>
          <t>Página web</t>
        </is>
      </c>
      <c r="G15" s="10" t="inlineStr">
        <is>
          <t>Descarga directa</t>
        </is>
      </c>
      <c r="H15" s="10" t="inlineStr">
        <is>
          <t>no declara</t>
        </is>
      </c>
      <c r="I15" s="10" t="inlineStr">
        <is>
          <t>No</t>
        </is>
      </c>
      <c r="J15" s="10" t="inlineStr">
        <is>
          <t>88 NIL</t>
        </is>
      </c>
      <c r="K15" s="10" t="inlineStr">
        <is>
          <t>Histórico (Pre-PGT 2030)</t>
        </is>
      </c>
      <c r="L15" s="10" t="inlineStr">
        <is>
          <t>Única vez</t>
        </is>
      </c>
      <c r="M15" s="10" t="inlineStr">
        <is>
          <t>2026-09-28</t>
        </is>
      </c>
      <c r="N15" s="10" t="inlineStr">
        <is>
          <t>No responde</t>
        </is>
      </c>
      <c r="O15" s="10" t="inlineStr">
        <is>
          <t>Rastreando catálogo histórico</t>
        </is>
      </c>
      <c r="P15" s="10" t="inlineStr">
        <is>
          <t>NO RESPONDE: Error URLError getaddrinfo failed (DNS no resuelve subdominio geoportale). Se reemplazó por la fuente vigente F01.</t>
        </is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</row>
  </sheetData>
  <dataValidations count="6">
    <dataValidation sqref="D5:D44" showDropDown="0" showInputMessage="0" showErrorMessage="0" allowBlank="1" error="Elijan una opción de la lista" type="list">
      <formula1>"Entidad pública,Academia u ONG,Plataforma colaborativa,Empresa privada,Medio de comunicación,No se sabe"</formula1>
    </dataValidation>
    <dataValidation sqref="F5:F44" showDropDown="0" showInputMessage="0" showErrorMessage="0" allowBlank="1" error="Elijan una opción de la lista" type="list">
      <formula1>"CSV,JSON,XLSX,Parquet,GeoJSON,Shapefile,PDF,Página web,Otro"</formula1>
    </dataValidation>
    <dataValidation sqref="G5:G44" showDropDown="0" showInputMessage="0" showErrorMessage="0" allowBlank="1" error="Elijan una opción de la lista" type="list">
      <formula1>"API sin llave,API con llave gratuita,Descarga directa,Solo PDF o página,Bloquea scripts o pide sesión"</formula1>
    </dataValidation>
    <dataValidation sqref="I5:I44" showDropDown="0" showInputMessage="0" showErrorMessage="0" allowBlank="1" error="Elijan una opción de la lista" type="list">
      <formula1>"No,Solo conteos por zona,Personas identificables,Texto libre sin revisar"</formula1>
    </dataValidation>
    <dataValidation sqref="L5:L44" showDropDown="0" showInputMessage="0" showErrorMessage="0" allowBlank="1" error="Elijan una opción de la lista" type="list">
      <formula1>"Tiempo real,Diaria,Mensual,Trimestral,Anual,Única vez,No se sabe"</formula1>
    </dataValidation>
    <dataValidation sqref="N5:N44" showDropDown="0" showInputMessage="0" showErrorMessage="0" allowBlank="1" error="Elijan una opción de la lista" type="list">
      <formula1>"Integrada al lago,Candidata,No responde,No existe (la inventó la IA),Descartada"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0" customWidth="1" min="2" max="2"/>
    <col width="22" customWidth="1" min="3" max="3"/>
    <col width="20" customWidth="1" min="4" max="4"/>
    <col width="36" customWidth="1" min="5" max="5"/>
    <col width="12" customWidth="1" min="6" max="6"/>
    <col width="16" customWidth="1" min="7" max="7"/>
    <col width="14" customWidth="1" min="8" max="8"/>
    <col width="11" customWidth="1" min="9" max="9"/>
    <col width="22" customWidth="1" min="10" max="10"/>
    <col width="16" customWidth="1" min="11" max="11"/>
    <col width="28" customWidth="1" min="12" max="12"/>
    <col width="32" customWidth="1" min="13" max="13"/>
  </cols>
  <sheetData>
    <row r="1" ht="18" customHeight="1">
      <c r="A1" s="6" t="inlineStr">
        <is>
          <t>2. Diccionario de datos</t>
        </is>
      </c>
    </row>
    <row r="2">
      <c r="A2" s="7" t="inlineStr">
        <is>
          <t>Una fila por campo que quedó en el lago. Si un campo del lago no aparece aquí, no existe.</t>
        </is>
      </c>
    </row>
    <row r="3" ht="42" customHeight="1">
      <c r="A3" s="8" t="inlineStr">
        <is>
          <t>ID fuente</t>
        </is>
      </c>
      <c r="B3" s="8" t="inlineStr">
        <is>
          <t>Archivo o tabla en el lago</t>
        </is>
      </c>
      <c r="C3" s="8" t="inlineStr">
        <is>
          <t>Nombre del campo en el lago</t>
        </is>
      </c>
      <c r="D3" s="8" t="inlineStr">
        <is>
          <t>Nombre original en la fuente</t>
        </is>
      </c>
      <c r="E3" s="8" t="inlineStr">
        <is>
          <t>Qué significa (en una frase)</t>
        </is>
      </c>
      <c r="F3" s="8" t="inlineStr">
        <is>
          <t>Tipo de dato</t>
        </is>
      </c>
      <c r="G3" s="8" t="inlineStr">
        <is>
          <t>Unidad de medida</t>
        </is>
      </c>
      <c r="H3" s="8" t="inlineStr">
        <is>
          <t>Ejemplo de valor</t>
        </is>
      </c>
      <c r="I3" s="8" t="inlineStr">
        <is>
          <t>¿Puede venir vacío?</t>
        </is>
      </c>
      <c r="J3" s="8" t="inlineStr">
        <is>
          <t>Valores permitidos o rango</t>
        </is>
      </c>
      <c r="K3" s="8" t="inlineStr">
        <is>
          <t>Clasificación</t>
        </is>
      </c>
      <c r="L3" s="8" t="inlineStr">
        <is>
          <t>Transformación que le hicieron</t>
        </is>
      </c>
      <c r="M3" s="8" t="inlineStr">
        <is>
          <t>Pregunta del sistema que ayuda a responder</t>
        </is>
      </c>
    </row>
    <row r="4" ht="39" customHeight="1">
      <c r="A4" s="9" t="inlineStr">
        <is>
          <t>F01</t>
        </is>
      </c>
      <c r="B4" s="9" t="inlineStr">
        <is>
          <t>lago/escucha.json</t>
        </is>
      </c>
      <c r="C4" s="9" t="inlineStr">
        <is>
          <t>vistas_ultimo_mes</t>
        </is>
      </c>
      <c r="D4" s="9" t="inlineStr">
        <is>
          <t>views</t>
        </is>
      </c>
      <c r="E4" s="9" t="inlineStr">
        <is>
          <t>Vistas del artículo de la ciudad hechas por personas en el último mes completo</t>
        </is>
      </c>
      <c r="F4" s="9" t="inlineStr">
        <is>
          <t>Entero</t>
        </is>
      </c>
      <c r="G4" s="9" t="inlineStr">
        <is>
          <t>vistas de personas</t>
        </is>
      </c>
      <c r="H4" s="9" t="inlineStr">
        <is>
          <t>19552</t>
        </is>
      </c>
      <c r="I4" s="9" t="inlineStr">
        <is>
          <t>No</t>
        </is>
      </c>
      <c r="J4" s="9" t="inlineStr">
        <is>
          <t>≥ 0</t>
        </is>
      </c>
      <c r="K4" s="9" t="inlineStr">
        <is>
          <t>Pública</t>
        </is>
      </c>
      <c r="L4" s="9" t="inlineStr">
        <is>
          <t>Se toma el último mes de la serie; la fecha AAAAMMDD se pasa a AAAA-MM</t>
        </is>
      </c>
      <c r="M4" s="9" t="inlineStr">
        <is>
          <t>¿Cuánto interés despierta la ciudad fuera de ella y cómo cambia en el año?</t>
        </is>
      </c>
    </row>
    <row r="5">
      <c r="A5" s="10" t="inlineStr">
        <is>
          <t>F09</t>
        </is>
      </c>
      <c r="B5" s="10" t="inlineStr">
        <is>
          <t>lago/escucha.json</t>
        </is>
      </c>
      <c r="C5" s="10" t="inlineStr">
        <is>
          <t>vistas_ultimo_mes</t>
        </is>
      </c>
      <c r="D5" s="10" t="inlineStr">
        <is>
          <t>views</t>
        </is>
      </c>
      <c r="E5" s="10" t="inlineStr">
        <is>
          <t>Vistas del artículo de Milán en Wikipedia hechas por personas en el último mes completo</t>
        </is>
      </c>
      <c r="F5" s="10" t="inlineStr">
        <is>
          <t>Entero</t>
        </is>
      </c>
      <c r="G5" s="10" t="inlineStr">
        <is>
          <t>visitas de usuarios</t>
        </is>
      </c>
      <c r="H5" s="10" t="inlineStr">
        <is>
          <t>13195</t>
        </is>
      </c>
      <c r="I5" s="10" t="inlineStr">
        <is>
          <t>No</t>
        </is>
      </c>
      <c r="J5" s="10" t="inlineStr">
        <is>
          <t>&gt;= 0</t>
        </is>
      </c>
      <c r="K5" s="10" t="inlineStr">
        <is>
          <t>Pública</t>
        </is>
      </c>
      <c r="L5" s="10" t="inlineStr">
        <is>
          <t>Filtro de tráfico automatizado (agent: user), selección del último mes cerrado</t>
        </is>
      </c>
      <c r="M5" s="10" t="inlineStr">
        <is>
          <t>¿Qué atención o interés internacional suscita la ciudad?</t>
        </is>
      </c>
    </row>
    <row r="6">
      <c r="A6" s="10" t="inlineStr">
        <is>
          <t>F03</t>
        </is>
      </c>
      <c r="B6" s="10" t="inlineStr">
        <is>
          <t>lago/seguridad.json</t>
        </is>
      </c>
      <c r="C6" s="10" t="inlineStr">
        <is>
          <t>incidentes_ultimo_anio</t>
        </is>
      </c>
      <c r="D6" s="10" t="inlineStr">
        <is>
          <t>Incidenti</t>
        </is>
      </c>
      <c r="E6" s="10" t="inlineStr">
        <is>
          <t>Total de siniestros viales registrados en la vía pública por la Polizia Locale en el último año cerrado</t>
        </is>
      </c>
      <c r="F6" s="10" t="inlineStr">
        <is>
          <t>Entero</t>
        </is>
      </c>
      <c r="G6" s="10" t="inlineStr">
        <is>
          <t>siniestros viales</t>
        </is>
      </c>
      <c r="H6" s="10" t="inlineStr">
        <is>
          <t>7602</t>
        </is>
      </c>
      <c r="I6" s="10" t="inlineStr">
        <is>
          <t>No</t>
        </is>
      </c>
      <c r="J6" s="10" t="inlineStr">
        <is>
          <t>&gt;= 0</t>
        </is>
      </c>
      <c r="K6" s="10" t="inlineStr">
        <is>
          <t>Pública</t>
        </is>
      </c>
      <c r="L6" s="10" t="inlineStr">
        <is>
          <t>Agregación y suma anualizada de reportes mensuales de los 9 Municipi</t>
        </is>
      </c>
      <c r="M6" s="10" t="inlineStr">
        <is>
          <t>¿Cuál es el panorama de seguridad vial y siniestros en la ciudad?</t>
        </is>
      </c>
    </row>
    <row r="7">
      <c r="A7" s="10" t="inlineStr">
        <is>
          <t>F03</t>
        </is>
      </c>
      <c r="B7" s="10" t="inlineStr">
        <is>
          <t>lago/seguridad.json</t>
        </is>
      </c>
      <c r="C7" s="10" t="inlineStr">
        <is>
          <t>lesionados_ultimo_anio</t>
        </is>
      </c>
      <c r="D7" s="10" t="inlineStr">
        <is>
          <t>Feriti</t>
        </is>
      </c>
      <c r="E7" s="10" t="inlineStr">
        <is>
          <t>Número total de personas que resultaron con lesiones corporales en siniestros viales</t>
        </is>
      </c>
      <c r="F7" s="10" t="inlineStr">
        <is>
          <t>Entero</t>
        </is>
      </c>
      <c r="G7" s="10" t="inlineStr">
        <is>
          <t>personas lesionadas</t>
        </is>
      </c>
      <c r="H7" s="10" t="inlineStr">
        <is>
          <t>9384</t>
        </is>
      </c>
      <c r="I7" s="10" t="inlineStr">
        <is>
          <t>No</t>
        </is>
      </c>
      <c r="J7" s="10" t="inlineStr">
        <is>
          <t>&gt;= 0</t>
        </is>
      </c>
      <c r="K7" s="10" t="inlineStr">
        <is>
          <t>Pública</t>
        </is>
      </c>
      <c r="L7" s="10" t="inlineStr">
        <is>
          <t>Suma de personas heridas reportadas en atenciones de tránsito</t>
        </is>
      </c>
      <c r="M7" s="10" t="inlineStr">
        <is>
          <t>¿Dónde se concentran los lesionados y cuál es la gravedad vial?</t>
        </is>
      </c>
    </row>
    <row r="8">
      <c r="A8" s="10" t="inlineStr">
        <is>
          <t>F02</t>
        </is>
      </c>
      <c r="B8" s="10" t="inlineStr">
        <is>
          <t>lago/demografia.json</t>
        </is>
      </c>
      <c r="C8" s="10" t="inlineStr">
        <is>
          <t>familias_residentes_ultimo_anio</t>
        </is>
      </c>
      <c r="D8" s="10" t="inlineStr">
        <is>
          <t>Famiglie</t>
        </is>
      </c>
      <c r="E8" s="10" t="inlineStr">
        <is>
          <t>Total de hogares y núcleos familiares registrados en el padrón anagráfico municipal</t>
        </is>
      </c>
      <c r="F8" s="10" t="inlineStr">
        <is>
          <t>Entero</t>
        </is>
      </c>
      <c r="G8" s="10" t="inlineStr">
        <is>
          <t>familias censadas</t>
        </is>
      </c>
      <c r="H8" s="10" t="inlineStr">
        <is>
          <t>620587</t>
        </is>
      </c>
      <c r="I8" s="10" t="inlineStr">
        <is>
          <t>No</t>
        </is>
      </c>
      <c r="J8" s="10" t="inlineStr">
        <is>
          <t>&gt;= 0</t>
        </is>
      </c>
      <c r="K8" s="10" t="inlineStr">
        <is>
          <t>Pública</t>
        </is>
      </c>
      <c r="L8" s="10" t="inlineStr">
        <is>
          <t>Consolidación de registros de familias por municipio para el último año censal disponible</t>
        </is>
      </c>
      <c r="M8" s="10" t="inlineStr">
        <is>
          <t>¿Cuánta gente vive y cómo se distribuye la población?</t>
        </is>
      </c>
    </row>
    <row r="9">
      <c r="A9" s="10" t="inlineStr">
        <is>
          <t>F02</t>
        </is>
      </c>
      <c r="B9" s="10" t="inlineStr">
        <is>
          <t>lago/demografia.json</t>
        </is>
      </c>
      <c r="C9" s="10" t="inlineStr">
        <is>
          <t>poblacion_estimada_familias</t>
        </is>
      </c>
      <c r="D9" s="10" t="inlineStr">
        <is>
          <t>Numero componenti * Famiglie</t>
        </is>
      </c>
      <c r="E9" s="10" t="inlineStr">
        <is>
          <t>Estimación del total de personas que conviven en familias registradas</t>
        </is>
      </c>
      <c r="F9" s="10" t="inlineStr">
        <is>
          <t>Entero</t>
        </is>
      </c>
      <c r="G9" s="10" t="inlineStr">
        <is>
          <t>habitantes en familias</t>
        </is>
      </c>
      <c r="H9" s="10" t="inlineStr">
        <is>
          <t>1002644</t>
        </is>
      </c>
      <c r="I9" s="10" t="inlineStr">
        <is>
          <t>No</t>
        </is>
      </c>
      <c r="J9" s="10" t="inlineStr">
        <is>
          <t>&gt;= 0</t>
        </is>
      </c>
      <c r="K9" s="10" t="inlineStr">
        <is>
          <t>Pública</t>
        </is>
      </c>
      <c r="L9" s="10" t="inlineStr">
        <is>
          <t>Multiplicación de familias por número de componentes declarados</t>
        </is>
      </c>
      <c r="M9" s="10" t="inlineStr">
        <is>
          <t>¿Cuánta gente vive en hogares familiares en Milán?</t>
        </is>
      </c>
    </row>
    <row r="10">
      <c r="A10" s="10" t="inlineStr">
        <is>
          <t>F06</t>
        </is>
      </c>
      <c r="B10" s="10" t="inlineStr">
        <is>
          <t>lago/ambiente.json</t>
        </is>
      </c>
      <c r="C10" s="10" t="inlineStr">
        <is>
          <t>promedio_no2</t>
        </is>
      </c>
      <c r="D10" s="10" t="inlineStr">
        <is>
          <t>valore (inquinante = NO2)</t>
        </is>
      </c>
      <c r="E10" s="10" t="inlineStr">
        <is>
          <t>Concentración promedio de dióxido de nitrógeno registrada en las estaciones urbanas de Milán</t>
        </is>
      </c>
      <c r="F10" s="10" t="inlineStr">
        <is>
          <t>Decimal</t>
        </is>
      </c>
      <c r="G10" s="10" t="inlineStr">
        <is>
          <t>µg/m³</t>
        </is>
      </c>
      <c r="H10" s="10" t="inlineStr">
        <is>
          <t>59.92</t>
        </is>
      </c>
      <c r="I10" s="10" t="inlineStr">
        <is>
          <t>No</t>
        </is>
      </c>
      <c r="J10" s="10" t="inlineStr">
        <is>
          <t>&gt;= 0.0</t>
        </is>
      </c>
      <c r="K10" s="10" t="inlineStr">
        <is>
          <t>Pública</t>
        </is>
      </c>
      <c r="L10" s="10" t="inlineStr">
        <is>
          <t>Filtrado por inquinante 'NO2' y cálculo de media aritmética de estaciones fijas</t>
        </is>
      </c>
      <c r="M10" s="10" t="inlineStr">
        <is>
          <t>¿Cuál es el nivel de exposición ambiental y calidad del aire?</t>
        </is>
      </c>
    </row>
    <row r="11">
      <c r="A11" s="10" t="inlineStr">
        <is>
          <t>F06</t>
        </is>
      </c>
      <c r="B11" s="10" t="inlineStr">
        <is>
          <t>lago/ambiente.json</t>
        </is>
      </c>
      <c r="C11" s="10" t="inlineStr">
        <is>
          <t>promedio_pm10</t>
        </is>
      </c>
      <c r="D11" s="10" t="inlineStr">
        <is>
          <t>valore (inquinante = PM10)</t>
        </is>
      </c>
      <c r="E11" s="10" t="inlineStr">
        <is>
          <t>Concentración promedio de material particulado PM10 en el aire urbano</t>
        </is>
      </c>
      <c r="F11" s="10" t="inlineStr">
        <is>
          <t>Decimal</t>
        </is>
      </c>
      <c r="G11" s="10" t="inlineStr">
        <is>
          <t>µg/m³</t>
        </is>
      </c>
      <c r="H11" s="10" t="inlineStr">
        <is>
          <t>30.40</t>
        </is>
      </c>
      <c r="I11" s="10" t="inlineStr">
        <is>
          <t>No</t>
        </is>
      </c>
      <c r="J11" s="10" t="inlineStr">
        <is>
          <t>&gt;= 0.0</t>
        </is>
      </c>
      <c r="K11" s="10" t="inlineStr">
        <is>
          <t>Pública</t>
        </is>
      </c>
      <c r="L11" s="10" t="inlineStr">
        <is>
          <t>Filtrado por inquinante 'PM10' y promedio de lecturas diarias</t>
        </is>
      </c>
      <c r="M11" s="10" t="inlineStr">
        <is>
          <t>¿Cuál es el nivel de partículas suspendidas en el ambiente?</t>
        </is>
      </c>
    </row>
    <row r="12">
      <c r="A12" s="10" t="inlineStr">
        <is>
          <t>F01</t>
        </is>
      </c>
      <c r="B12" s="10" t="inlineStr">
        <is>
          <t>territorio/nil.csv</t>
        </is>
      </c>
      <c r="C12" s="10" t="inlineStr">
        <is>
          <t>id_nil</t>
        </is>
      </c>
      <c r="D12" s="10" t="inlineStr">
        <is>
          <t>ID_NIL</t>
        </is>
      </c>
      <c r="E12" s="10" t="inlineStr">
        <is>
          <t>Identificador numérico oficial del Núcleo de Identidad Local (NIL) según el PGT</t>
        </is>
      </c>
      <c r="F12" s="10" t="inlineStr">
        <is>
          <t>Código</t>
        </is>
      </c>
      <c r="G12" s="10" t="inlineStr">
        <is>
          <t>código territorial</t>
        </is>
      </c>
      <c r="H12" s="10" t="inlineStr">
        <is>
          <t>48</t>
        </is>
      </c>
      <c r="I12" s="10" t="inlineStr">
        <is>
          <t>No</t>
        </is>
      </c>
      <c r="J12" s="10" t="inlineStr">
        <is>
          <t>1 a 88</t>
        </is>
      </c>
      <c r="K12" s="10" t="inlineStr">
        <is>
          <t>Pública</t>
        </is>
      </c>
      <c r="L12" s="10" t="inlineStr">
        <is>
          <t>Extracción de ID del shapefile oficial y cruce con centroides EPSG:4326</t>
        </is>
      </c>
      <c r="M12" s="10" t="inlineStr">
        <is>
          <t>¿Cuál es la delimitación geográfica de los 88 barrios de Milán?</t>
        </is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</row>
  </sheetData>
  <dataValidations count="3">
    <dataValidation sqref="F5:F44" showDropDown="0" showInputMessage="0" showErrorMessage="0" allowBlank="1" error="Elijan una opción de la lista" type="list">
      <formula1>"Texto,Entero,Decimal,Fecha,Booleano,Código,Coordenada / geometría"</formula1>
    </dataValidation>
    <dataValidation sqref="I5:I44" showDropDown="0" showInputMessage="0" showErrorMessage="0" allowBlank="1" error="Elijan una opción de la lista" type="list">
      <formula1>"Sí,No"</formula1>
    </dataValidation>
    <dataValidation sqref="K5:K44" showDropDown="0" showInputMessage="0" showErrorMessage="0" allowBlank="1" error="Elijan una opción de la lista" type="list">
      <formula1>"Pública,Interna,Sensible,Dato personal"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min="1" max="1"/>
    <col width="16" customWidth="1" min="2" max="2"/>
    <col width="36" customWidth="1" min="3" max="4"/>
    <col width="30" customWidth="1" min="5" max="5"/>
    <col width="16" customWidth="1" min="6" max="6"/>
    <col width="12" customWidth="1" min="7" max="7"/>
    <col width="30" customWidth="1" min="8" max="8"/>
  </cols>
  <sheetData>
    <row r="1" ht="18" customHeight="1">
      <c r="A1" s="6" t="inlineStr">
        <is>
          <t>3. Bitácora de la búsqueda con IA</t>
        </is>
      </c>
    </row>
    <row r="2">
      <c r="A2" s="7" t="inlineStr">
        <is>
          <t>Qué le encargaron a la IA y qué pasó con lo que respondió. Incluyan los errores: valen tanto como los aciertos.</t>
        </is>
      </c>
    </row>
    <row r="3" ht="42" customHeight="1">
      <c r="A3" s="8" t="inlineStr">
        <is>
          <t>#</t>
        </is>
      </c>
      <c r="B3" s="8" t="inlineStr">
        <is>
          <t>Herramienta de IA</t>
        </is>
      </c>
      <c r="C3" s="8" t="inlineStr">
        <is>
          <t>Qué le encargaron</t>
        </is>
      </c>
      <c r="D3" s="8" t="inlineStr">
        <is>
          <t>Qué respondió (resumen)</t>
        </is>
      </c>
      <c r="E3" s="8" t="inlineStr">
        <is>
          <t>Cómo lo comprobaron</t>
        </is>
      </c>
      <c r="F3" s="8" t="inlineStr">
        <is>
          <t>Resultado</t>
        </is>
      </c>
      <c r="G3" s="8" t="inlineStr">
        <is>
          <t>ID fuente que salió de ahí</t>
        </is>
      </c>
      <c r="H3" s="8" t="inlineStr">
        <is>
          <t>Qué aprendieron</t>
        </is>
      </c>
    </row>
    <row r="4" ht="52" customHeight="1">
      <c r="A4" s="9" t="inlineStr">
        <is>
          <t>1</t>
        </is>
      </c>
      <c r="B4" s="9" t="inlineStr">
        <is>
          <t>Claude</t>
        </is>
      </c>
      <c r="C4" s="9" t="inlineStr">
        <is>
          <t>Encontrar una fuente abierta y sin llave que mida cuánto interés despierta Medellín fuera de la ciudad</t>
        </is>
      </c>
      <c r="D4" s="9" t="inlineStr">
        <is>
          <t>Propuso Google Trends y la API de vistas de Wikipedia</t>
        </is>
      </c>
      <c r="E4" s="9" t="inlineStr">
        <is>
          <t>Probamos las dos: Google Trends no tiene API abierta ni licencia de reutilización; la de Wikipedia respondió con curl y declara CC0</t>
        </is>
      </c>
      <c r="F4" s="9" t="inlineStr">
        <is>
          <t>Parcial</t>
        </is>
      </c>
      <c r="G4" s="9" t="inlineStr">
        <is>
          <t>F01</t>
        </is>
      </c>
      <c r="H4" s="9" t="inlineStr">
        <is>
          <t>Que la IA nombre una fuente no quiere decir que se pueda usar: la licencia y el acceso se comprueban uno mismo.</t>
        </is>
      </c>
    </row>
    <row r="5">
      <c r="A5" s="10" t="inlineStr">
        <is>
          <t>1</t>
        </is>
      </c>
      <c r="B5" s="10" t="inlineStr">
        <is>
          <t>Claude Code / Antigravity</t>
        </is>
      </c>
      <c r="C5" s="10" t="inlineStr">
        <is>
          <t>Localizar la escala y subdivisión territorial oficial de Milán para estructurar el gemelo urbano</t>
        </is>
      </c>
      <c r="D5" s="10" t="inlineStr">
        <is>
          <t>Sugirió buscar por 'distretti' genéricos o comunas metropolitanas</t>
        </is>
      </c>
      <c r="E5" s="10" t="inlineStr">
        <is>
          <t>Consultamos la documentación del Comune y descubrimos que la unidad oficial de planificación son los 88 NIL (Nuclei di Identità Locale)</t>
        </is>
      </c>
      <c r="F5" s="10" t="inlineStr">
        <is>
          <t>Parcial</t>
        </is>
      </c>
      <c r="G5" s="10" t="inlineStr">
        <is>
          <t>F01</t>
        </is>
      </c>
      <c r="H5" s="10" t="inlineStr">
        <is>
          <t>Milán no divide su planificación en distritos como Lima; su unidad oficial normativa aprobada en el PGT son los NIL.</t>
        </is>
      </c>
    </row>
    <row r="6">
      <c r="A6" s="10" t="inlineStr">
        <is>
          <t>2</t>
        </is>
      </c>
      <c r="B6" s="10" t="inlineStr">
        <is>
          <t>Claude Code / Antigravity</t>
        </is>
      </c>
      <c r="C6" s="10" t="inlineStr">
        <is>
          <t>Encontrar una API oficial en tiempo real de calidad del aire para Milán</t>
        </is>
      </c>
      <c r="D6" s="10" t="inlineStr">
        <is>
          <t>Inventó un endpoint inexistente: https://dati.comune.milano.it/api/v1/airquality/stations.json</t>
        </is>
      </c>
      <c r="E6" s="10" t="inlineStr">
        <is>
          <t>Probamos la URL con curl y devolvió error 404; auditamos el catálogo CKAN hasta encontrar el recurso vigente ds2969 (septiembre 2026)</t>
        </is>
      </c>
      <c r="F6" s="10" t="inlineStr">
        <is>
          <t>Inventado</t>
        </is>
      </c>
      <c r="G6" s="10" t="inlineStr">
        <is>
          <t>F06</t>
        </is>
      </c>
      <c r="H6" s="10" t="inlineStr">
        <is>
          <t>Los modelos de lenguaje inventan rutas REST verosímiles; ninguna URL entra al catálogo sin comprobarse en la terminal.</t>
        </is>
      </c>
    </row>
    <row r="7">
      <c r="A7" s="10" t="inlineStr">
        <is>
          <t>3</t>
        </is>
      </c>
      <c r="B7" s="10" t="inlineStr">
        <is>
          <t>Claude Code / Antigravity</t>
        </is>
      </c>
      <c r="C7" s="10" t="inlineStr">
        <is>
          <t>Escribir el script de ingesta de consultas mensuales en Wikipedia para Milán</t>
        </is>
      </c>
      <c r="D7" s="10" t="inlineStr">
        <is>
          <t>Entregó código estándar con urllib pero con la URL sin codificar para caracteres especiales ('Milán')</t>
        </is>
      </c>
      <c r="E7" s="10" t="inlineStr">
        <is>
          <t>La API de Wikimedia falló con desambiguación; se corrigió agregando urllib.parse.quote y resolviendo el título canónico</t>
        </is>
      </c>
      <c r="F7" s="10" t="inlineStr">
        <is>
          <t>Parcial</t>
        </is>
      </c>
      <c r="G7" s="10" t="inlineStr">
        <is>
          <t>F09</t>
        </is>
      </c>
      <c r="H7" s="10" t="inlineStr">
        <is>
          <t>Los títulos con tildes requieren codificación de URL canónica para no romper la reproducibilidad del script.</t>
        </is>
      </c>
    </row>
    <row r="8">
      <c r="A8" s="10" t="inlineStr">
        <is>
          <t>4</t>
        </is>
      </c>
      <c r="B8" s="10" t="inlineStr">
        <is>
          <t>Claude Code / Antigravity</t>
        </is>
      </c>
      <c r="C8" s="10" t="inlineStr">
        <is>
          <t>Generar expresión regular para verificar ausencia de datos personales (PII) en el lago</t>
        </is>
      </c>
      <c r="D8" s="10" t="inlineStr">
        <is>
          <t>Propuso un regex diseñado exclusivamente para celulares de Colombia (3\d{9})</t>
        </is>
      </c>
      <c r="E8" s="10" t="inlineStr">
        <is>
          <t>Nos dimos cuenta de que dejaría pasar números italianos; lo corregimos incorporando prefijos internacionales y móviles de Italia ((?:\+39\s?)?3\d{8,9})</t>
        </is>
      </c>
      <c r="F8" s="10" t="inlineStr">
        <is>
          <t>Parcial</t>
        </is>
      </c>
      <c r="G8" s="10" t="inlineStr">
        <is>
          <t>F10</t>
        </is>
      </c>
      <c r="H8" s="10" t="inlineStr">
        <is>
          <t>Las políticas y filtros de seguridad como código deben ajustarse a la normativa y territorio del sistema que se gobierna.</t>
        </is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</sheetData>
  <dataValidations count="1">
    <dataValidation sqref="F5:F44" showDropDown="0" showInputMessage="0" showErrorMessage="0" allowBlank="1" error="Elijan una opción de la lista" type="list">
      <formula1>"Correcto,Parcial,Incorrecto,Inventado"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8.83203125" defaultRowHeight="15"/>
  <cols>
    <col width="48" customWidth="1" min="1" max="1"/>
    <col width="14" customWidth="1" min="2" max="2"/>
  </cols>
  <sheetData>
    <row r="1" ht="18" customHeight="1">
      <c r="A1" s="6" t="inlineStr">
        <is>
          <t>Resumen del lago</t>
        </is>
      </c>
    </row>
    <row r="2">
      <c r="A2" s="7" t="inlineStr">
        <is>
          <t>Se calcula solo desde las otras hojas; no cuenta las filas de ejemplo (fila 4).</t>
        </is>
      </c>
    </row>
    <row r="4">
      <c r="A4" s="11" t="inlineStr">
        <is>
          <t>Fuentes registradas</t>
        </is>
      </c>
      <c r="B4" s="12">
        <f>COUNTA('1. Fuentes'!A5:A44)</f>
        <v/>
      </c>
    </row>
    <row r="5">
      <c r="A5" s="13" t="inlineStr">
        <is>
          <t xml:space="preserve">  · integradas al lago</t>
        </is>
      </c>
      <c r="B5" s="12">
        <f>COUNTIF('1. Fuentes'!N5:N44,"Integrada al lago")</f>
        <v/>
      </c>
    </row>
    <row r="6">
      <c r="A6" s="13" t="inlineStr">
        <is>
          <t xml:space="preserve">  · candidatas</t>
        </is>
      </c>
      <c r="B6" s="12">
        <f>COUNTIF('1. Fuentes'!N5:N44,"Candidata")</f>
        <v/>
      </c>
    </row>
    <row r="7">
      <c r="A7" s="13" t="inlineStr">
        <is>
          <t xml:space="preserve">  · que no responden</t>
        </is>
      </c>
      <c r="B7" s="12">
        <f>COUNTIF('1. Fuentes'!N5:N44,"No responde")</f>
        <v/>
      </c>
    </row>
    <row r="8">
      <c r="A8" s="13" t="inlineStr">
        <is>
          <t xml:space="preserve">  · que no existen (inventadas por la IA)</t>
        </is>
      </c>
      <c r="B8" s="12">
        <f>COUNTIF('1. Fuentes'!N5:N44,"No existe (la inventó la IA)")</f>
        <v/>
      </c>
    </row>
    <row r="9">
      <c r="A9" s="13" t="inlineStr">
        <is>
          <t xml:space="preserve">  · descartadas</t>
        </is>
      </c>
      <c r="B9" s="12">
        <f>COUNTIF('1. Fuentes'!N5:N44,"Descartada")</f>
        <v/>
      </c>
    </row>
    <row r="10">
      <c r="A10" s="11" t="inlineStr">
        <is>
          <t>Fuentes con licencia «no declara» o vacía</t>
        </is>
      </c>
      <c r="B10" s="12">
        <f>COUNTIF('1. Fuentes'!H5:H44,"no declara")+COUNTIFS('1. Fuentes'!A5:A44,"&lt;&gt;",'1. Fuentes'!H5:H44,"")</f>
        <v/>
      </c>
    </row>
    <row r="11">
      <c r="A11" s="11" t="inlineStr">
        <is>
          <t>Fuentes con personas identificables o texto libre</t>
        </is>
      </c>
      <c r="B11" s="12">
        <f>COUNTIF('1. Fuentes'!I5:I44,"Personas identificables")+COUNTIF('1. Fuentes'!I5:I44,"Texto libre sin revisar")</f>
        <v/>
      </c>
    </row>
    <row r="12">
      <c r="A12" s="11" t="inlineStr">
        <is>
          <t>Campos en el diccionario</t>
        </is>
      </c>
      <c r="B12" s="12">
        <f>COUNTA('2. Diccionario'!C5:C44)</f>
        <v/>
      </c>
    </row>
    <row r="13">
      <c r="A13" s="13" t="inlineStr">
        <is>
          <t xml:space="preserve">  · clasificados como sensibles o dato personal</t>
        </is>
      </c>
      <c r="B13" s="12">
        <f>COUNTIF('2. Diccionario'!K5:K44,"Sensible")+COUNTIF('2. Diccionario'!K5:K44,"Dato personal")</f>
        <v/>
      </c>
    </row>
    <row r="14">
      <c r="A14" s="13" t="inlineStr">
        <is>
          <t xml:space="preserve">  · sin pregunta del sistema asociada</t>
        </is>
      </c>
      <c r="B14" s="12">
        <f>COUNTIFS('2. Diccionario'!C5:C44,"&lt;&gt;",'2. Diccionario'!M5:M44,"")</f>
        <v/>
      </c>
    </row>
    <row r="15">
      <c r="A15" s="11" t="inlineStr">
        <is>
          <t>Encargos a la IA registrados</t>
        </is>
      </c>
      <c r="B15" s="12">
        <f>COUNTA('3. Bitácora IA'!C5:C44)</f>
        <v/>
      </c>
    </row>
    <row r="16">
      <c r="A16" s="13" t="inlineStr">
        <is>
          <t xml:space="preserve">  · con respuesta incorrecta o inventada</t>
        </is>
      </c>
      <c r="B16" s="12">
        <f>COUNTIF('3. Bitácora IA'!F5:F44,"Incorrecto")+COUNTIF('3. Bitácora IA'!F5:F44,"Inventado")</f>
        <v/>
      </c>
    </row>
    <row r="17">
      <c r="A17" s="11" t="inlineStr">
        <is>
          <t>Porcentaje de aciertos plenos de la IA</t>
        </is>
      </c>
      <c r="B17" s="14">
        <f>IF(B15=0,"-",COUNTIF('3. Bitácora IA'!F5:F44,"Correcto")/B15)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2026-09-28T11:22:59Z</dcterms:created>
  <dcterms:modified xmlns:dcterms="http://purl.org/dc/terms/" xmlns:xsi="http://www.w3.org/2001/XMLSchema-instance" xsi:type="dcterms:W3CDTF">2026-09-28T18:24:24Z</dcterms:modified>
  <cp:lastModifiedBy>Santiago Jimenez Londono</cp:lastModifiedBy>
</cp:coreProperties>
</file>