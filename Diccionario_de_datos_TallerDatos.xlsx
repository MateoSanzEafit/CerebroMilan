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Fuentes" sheetId="2" state="visible" r:id="rId2"/>
    <sheet xmlns:r="http://schemas.openxmlformats.org/officeDocument/2006/relationships" name="2. Diccionario" sheetId="3" state="visible" r:id="rId3"/>
    <sheet xmlns:r="http://schemas.openxmlformats.org/officeDocument/2006/relationships" name="3. Bitácora IA" sheetId="4" state="visible" r:id="rId4"/>
    <sheet xmlns:r="http://schemas.openxmlformats.org/officeDocument/2006/relationships"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Datos del grupo</t>
        </is>
      </c>
    </row>
    <row r="5">
      <c r="B5" s="5" t="inlineStr">
        <is>
          <t>Ciudad elegida: Milán (Milano, Italia)</t>
        </is>
      </c>
    </row>
    <row r="6">
      <c r="B6" s="5" t="inlineStr">
        <is>
          <t>Integrantes: Alyson Henao, Mateo Sanz, Samuel Arango, Emily Cardona</t>
        </is>
      </c>
    </row>
    <row r="7">
      <c r="B7" s="5" t="inlineStr">
        <is>
          <t>Enlace al repositorio o a la carpeta del lago: https://github.com/MateoSanzEafit/CerebroMilan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Nuclei d'Identità Locale (NIL) VIGENTI - PGT 2030</t>
        </is>
      </c>
      <c r="C5" s="10" t="inlineStr">
        <is>
          <t>Comune di Milano</t>
        </is>
      </c>
      <c r="D5" s="10" t="inlineStr">
        <is>
          <t>Entidad pública</t>
        </is>
      </c>
      <c r="E5" s="10" t="inlineStr">
        <is>
          <t>https://dati.comune.milano.it/dataset/e8e765fc-d882-40b8-95d8-16ff3d39eb7c/resource/3fce7202-0076-4a7b-ac2c-d2ab9b5dc658/download/ds964_nil_wm_4326.csv</t>
        </is>
      </c>
      <c r="F5" s="10" t="inlineStr">
        <is>
          <t>CSV / GeoJSON</t>
        </is>
      </c>
      <c r="G5" s="10" t="inlineStr">
        <is>
          <t>Descarga directa</t>
        </is>
      </c>
      <c r="H5" s="10" t="inlineStr">
        <is>
          <t>IODL 2.0 (Italian Open Data License)</t>
        </is>
      </c>
      <c r="I5" s="10" t="inlineStr">
        <is>
          <t>No</t>
        </is>
      </c>
      <c r="J5" s="10" t="inlineStr">
        <is>
          <t>88 NIL (Ciudad de Milán)</t>
        </is>
      </c>
      <c r="K5" s="10" t="inlineStr">
        <is>
          <t>2020 - Vigente</t>
        </is>
      </c>
      <c r="L5" s="10" t="inlineStr">
        <is>
          <t>Única vez</t>
        </is>
      </c>
      <c r="M5" s="10" t="inlineStr">
        <is>
          <t>2026-10-06</t>
        </is>
      </c>
      <c r="N5" s="10" t="inlineStr">
        <is>
          <t>Integrada al lago</t>
        </is>
      </c>
      <c r="O5" s="10" t="inlineStr">
        <is>
          <t>Búsqueda en catálogo oficial CKAN del Comune (name:nil)</t>
        </is>
      </c>
      <c r="P5" s="10" t="inlineStr">
        <is>
          <t>Malla territorial oficial aprobada por el PGT 2030 con geometrías vectoriales y centroides WGS84 (EPSG:4326).</t>
        </is>
      </c>
    </row>
    <row r="6">
      <c r="A6" s="10" t="inlineStr">
        <is>
          <t>F02</t>
        </is>
      </c>
      <c r="B6" s="10" t="inlineStr">
        <is>
          <t>Famiglie anagrafiche residenti per NIL (1999-2025)</t>
        </is>
      </c>
      <c r="C6" s="10" t="inlineStr">
        <is>
          <t>Comune di Milano - Area Servizi Demografici</t>
        </is>
      </c>
      <c r="D6" s="10" t="inlineStr">
        <is>
          <t>Entidad pública</t>
        </is>
      </c>
      <c r="E6" s="10" t="inlineStr">
        <is>
          <t>https://dati.comune.milano.it/dataset/e2f3d14b-c4eb-40cd-926c-61c07bd30a3f/resource/ef2a810e-2702-4083-8d94-c54f04552fc0/download/ds1440_popolazione_residenti_famiglie_quartiere.zip</t>
        </is>
      </c>
      <c r="F6" s="10" t="inlineStr">
        <is>
          <t>CSV (ZIP) / JSON</t>
        </is>
      </c>
      <c r="G6" s="10" t="inlineStr">
        <is>
          <t>Descarga directa</t>
        </is>
      </c>
      <c r="H6" s="10" t="inlineStr">
        <is>
          <t>Creative Commons Attribution (CC-BY 4.0)</t>
        </is>
      </c>
      <c r="I6" s="10" t="inlineStr">
        <is>
          <t>Solo conteos por zona</t>
        </is>
      </c>
      <c r="J6" s="10" t="inlineStr">
        <is>
          <t>88 NIL de Milán</t>
        </is>
      </c>
      <c r="K6" s="10" t="inlineStr">
        <is>
          <t>1999 - 2025</t>
        </is>
      </c>
      <c r="L6" s="10" t="inlineStr">
        <is>
          <t>Anual</t>
        </is>
      </c>
      <c r="M6" s="10" t="inlineStr">
        <is>
          <t>2026-10-06</t>
        </is>
      </c>
      <c r="N6" s="10" t="inlineStr">
        <is>
          <t>Integrada al lago</t>
        </is>
      </c>
      <c r="O6" s="10" t="inlineStr">
        <is>
          <t>Búsqueda por API CKAN (popolazione NIL)</t>
        </is>
      </c>
      <c r="P6" s="10" t="inlineStr">
        <is>
          <t>Serie histórica oficial de hogares y familias censadas sin microdatos personales.</t>
        </is>
      </c>
    </row>
    <row r="7">
      <c r="A7" s="10" t="inlineStr">
        <is>
          <t>F03</t>
        </is>
      </c>
      <c r="B7" s="10" t="inlineStr">
        <is>
          <t>Mobilità: incidenti stradali e persone infortunate per mese e zona</t>
        </is>
      </c>
      <c r="C7" s="10" t="inlineStr">
        <is>
          <t>Comune di Milano - Polizia Locale</t>
        </is>
      </c>
      <c r="D7" s="10" t="inlineStr">
        <is>
          <t>Entidad pública</t>
        </is>
      </c>
      <c r="E7" s="10" t="inlineStr">
        <is>
          <t>https://dati.comune.milano.it/dataset/9f7bcc9c-20a4-4e48-a7cd-99b15ed11102/resource/45b317ca-710a-4a9e-b81b-f380c24d8398/download/ds177_trafficotrasporti_incidenti_stradali.csv</t>
        </is>
      </c>
      <c r="F7" s="10" t="inlineStr">
        <is>
          <t>CSV / JSON</t>
        </is>
      </c>
      <c r="G7" s="10" t="inlineStr">
        <is>
          <t>Descarga directa</t>
        </is>
      </c>
      <c r="H7" s="10" t="inlineStr">
        <is>
          <t>Creative Commons Attribution (CC-BY 4.0)</t>
        </is>
      </c>
      <c r="I7" s="10" t="inlineStr">
        <is>
          <t>Solo conteos por zona</t>
        </is>
      </c>
      <c r="J7" s="10" t="inlineStr">
        <is>
          <t>9 Municipi de Milán</t>
        </is>
      </c>
      <c r="K7" s="10" t="inlineStr">
        <is>
          <t>2001 - 2024</t>
        </is>
      </c>
      <c r="L7" s="10" t="inlineStr">
        <is>
          <t>Anual</t>
        </is>
      </c>
      <c r="M7" s="10" t="inlineStr">
        <is>
          <t>2026-10-06</t>
        </is>
      </c>
      <c r="N7" s="10" t="inlineStr">
        <is>
          <t>Integrada al lago</t>
        </is>
      </c>
      <c r="O7" s="10" t="inlineStr">
        <is>
          <t>Búsqueda en catálogo CKAN (incidenti stradali)</t>
        </is>
      </c>
      <c r="P7" s="10" t="inlineStr">
        <is>
          <t>Conteo mensual de siniestros, personas lesionadas y víctimas fatales agregado por municipio para evitar reidentificación.</t>
        </is>
      </c>
    </row>
    <row r="8">
      <c r="A8" s="10" t="inlineStr">
        <is>
          <t>F04</t>
        </is>
      </c>
      <c r="B8" s="10" t="inlineStr">
        <is>
          <t>Stazioni BikeMi (Bicicletas compartidas de Milán)</t>
        </is>
      </c>
      <c r="C8" s="10" t="inlineStr">
        <is>
          <t>Comune di Milano - AMAT</t>
        </is>
      </c>
      <c r="D8" s="10" t="inlineStr">
        <is>
          <t>Entidad pública</t>
        </is>
      </c>
      <c r="E8" s="10" t="inlineStr">
        <is>
          <t>https://dati.comune.milano.it/dataset/cc065002-cd21-4dcb-b84f-bba2fd9e0c86/resource/2d0bafbc-1739-4a14-9e5a-71a648e1fc5b/download/bikemi_stazioni.geojson</t>
        </is>
      </c>
      <c r="F8" s="10" t="inlineStr">
        <is>
          <t>GeoJSON</t>
        </is>
      </c>
      <c r="G8" s="10" t="inlineStr">
        <is>
          <t>Descarga directa</t>
        </is>
      </c>
      <c r="H8" s="10" t="inlineStr">
        <is>
          <t>IODL 2.0 (Italian Open Data License)</t>
        </is>
      </c>
      <c r="I8" s="10" t="inlineStr">
        <is>
          <t>No</t>
        </is>
      </c>
      <c r="J8" s="10" t="inlineStr">
        <is>
          <t>Ciudad de Milán</t>
        </is>
      </c>
      <c r="K8" s="10" t="inlineStr">
        <is>
          <t>2024 - 2026</t>
        </is>
      </c>
      <c r="L8" s="10" t="inlineStr">
        <is>
          <t>Mensual</t>
        </is>
      </c>
      <c r="M8" s="10" t="inlineStr">
        <is>
          <t>2026-10-06</t>
        </is>
      </c>
      <c r="N8" s="10" t="inlineStr">
        <is>
          <t>Integrada al lago</t>
        </is>
      </c>
      <c r="O8" s="10" t="inlineStr">
        <is>
          <t>Búsqueda CKAN oficial (bikemi)</t>
        </is>
      </c>
      <c r="P8" s="10" t="inlineStr">
        <is>
          <t>325 estaciones georreferenciadas con número de anclajes de bicis tradicionales y eléctricas para movilidad activa.</t>
        </is>
      </c>
    </row>
    <row r="9">
      <c r="A9" s="10" t="inlineStr">
        <is>
          <t>F05</t>
        </is>
      </c>
      <c r="B9" s="10" t="inlineStr">
        <is>
          <t>Itinerari e piste ciclabili di Milano</t>
        </is>
      </c>
      <c r="C9" s="10" t="inlineStr">
        <is>
          <t>Comune di Milano - Direzione Mobilità</t>
        </is>
      </c>
      <c r="D9" s="10" t="inlineStr">
        <is>
          <t>Entidad pública</t>
        </is>
      </c>
      <c r="E9" s="10" t="inlineStr">
        <is>
          <t>https://dati.comune.milano.it/dataset/ceda0264-24f3-4869-9a2d-411906f0abab/resource/56515ac3-e260-4ebb-bfce-698347f07e1e/download/bike_ciclabili.geojson</t>
        </is>
      </c>
      <c r="F9" s="10" t="inlineStr">
        <is>
          <t>GeoJSON</t>
        </is>
      </c>
      <c r="G9" s="10" t="inlineStr">
        <is>
          <t>Descarga directa</t>
        </is>
      </c>
      <c r="H9" s="10" t="inlineStr">
        <is>
          <t>IODL 2.0 (Italian Open Data License)</t>
        </is>
      </c>
      <c r="I9" s="10" t="inlineStr">
        <is>
          <t>No</t>
        </is>
      </c>
      <c r="J9" s="10" t="inlineStr">
        <is>
          <t>Ciudad de Milán</t>
        </is>
      </c>
      <c r="K9" s="10" t="inlineStr">
        <is>
          <t>2024 - 2026</t>
        </is>
      </c>
      <c r="L9" s="10" t="inlineStr">
        <is>
          <t>Anual</t>
        </is>
      </c>
      <c r="M9" s="10" t="inlineStr">
        <is>
          <t>2026-10-06</t>
        </is>
      </c>
      <c r="N9" s="10" t="inlineStr">
        <is>
          <t>Integrada al lago</t>
        </is>
      </c>
      <c r="O9" s="10" t="inlineStr">
        <is>
          <t>Búsqueda CKAN (piste ciclabili)</t>
        </is>
      </c>
      <c r="P9" s="10" t="inlineStr">
        <is>
          <t>Trazados vectoriales de la red ciclista protegida y compartida para contrastar infraestructura vs accidentes.</t>
        </is>
      </c>
    </row>
    <row r="10">
      <c r="A10" s="10" t="inlineStr">
        <is>
          <t>F06</t>
        </is>
      </c>
      <c r="B10" s="10" t="inlineStr">
        <is>
          <t>Rilevazione qualità dell'aria (Stazioni fisse 2026)</t>
        </is>
      </c>
      <c r="C10" s="10" t="inlineStr">
        <is>
          <t>Comune di Milano / ARPA Lombardia</t>
        </is>
      </c>
      <c r="D10" s="10" t="inlineStr">
        <is>
          <t>Entidad pública</t>
        </is>
      </c>
      <c r="E10" s="10" t="inlineStr">
        <is>
          <t>https://dati.comune.milano.it/dataset/884b70a5-951c-4c92-931e-52a73d20af9f/resource/ddecb297-6e09-456e-aed3-7c934eec4dd3/download/qaria_datoariagiornostazione_2026-09-26.json</t>
        </is>
      </c>
      <c r="F10" s="10" t="inlineStr">
        <is>
          <t>JSON</t>
        </is>
      </c>
      <c r="G10" s="10" t="inlineStr">
        <is>
          <t>Descarga directa</t>
        </is>
      </c>
      <c r="H10" s="10" t="inlineStr">
        <is>
          <t>Creative Commons Attribution (CC-BY 4.0)</t>
        </is>
      </c>
      <c r="I10" s="10" t="inlineStr">
        <is>
          <t>No</t>
        </is>
      </c>
      <c r="J10" s="10" t="inlineStr">
        <is>
          <t>Estaciones fijas de Milán</t>
        </is>
      </c>
      <c r="K10" s="10" t="inlineStr">
        <is>
          <t>2026 (al 26 de septiembre)</t>
        </is>
      </c>
      <c r="L10" s="10" t="inlineStr">
        <is>
          <t>Diaria</t>
        </is>
      </c>
      <c r="M10" s="10" t="inlineStr">
        <is>
          <t>2026-10-06</t>
        </is>
      </c>
      <c r="N10" s="10" t="inlineStr">
        <is>
          <t>Integrada al lago</t>
        </is>
      </c>
      <c r="O10" s="10" t="inlineStr">
        <is>
          <t>Búsqueda CKAN oficial tras descartar endpoint ficticio de IA (ds2969)</t>
        </is>
      </c>
      <c r="P10" s="10" t="inlineStr">
        <is>
          <t>Monitoreo diario oficial de contaminantes críticos urbanos (NO2, PM10, PM2.5, C6H6).</t>
        </is>
      </c>
    </row>
    <row r="11">
      <c r="A11" s="10" t="inlineStr">
        <is>
          <t>F07</t>
        </is>
      </c>
      <c r="B11" s="10" t="inlineStr">
        <is>
          <t>Varchi Area B (Zona de Bajas Emisiones)</t>
        </is>
      </c>
      <c r="C11" s="10" t="inlineStr">
        <is>
          <t>Comune di Milano</t>
        </is>
      </c>
      <c r="D11" s="10" t="inlineStr">
        <is>
          <t>Entidad pública</t>
        </is>
      </c>
      <c r="E11" s="10" t="inlineStr">
        <is>
          <t>https://dati.comune.milano.it/dataset/cebfe28e-a50e-4b81-9d14-7b0d37170f0d/resource/c3439df3-673d-45e7-b151-c6d8d70ba0e4/download/areab_varchi.geojson</t>
        </is>
      </c>
      <c r="F11" s="10" t="inlineStr">
        <is>
          <t>GeoJSON</t>
        </is>
      </c>
      <c r="G11" s="10" t="inlineStr">
        <is>
          <t>Descarga directa</t>
        </is>
      </c>
      <c r="H11" s="10" t="inlineStr">
        <is>
          <t>IODL 2.0 (Italian Open Data License)</t>
        </is>
      </c>
      <c r="I11" s="10" t="inlineStr">
        <is>
          <t>No</t>
        </is>
      </c>
      <c r="J11" s="10" t="inlineStr">
        <is>
          <t>Perímetro urbano de Milán</t>
        </is>
      </c>
      <c r="K11" s="10" t="inlineStr">
        <is>
          <t>2024 - 2026</t>
        </is>
      </c>
      <c r="L11" s="10" t="inlineStr">
        <is>
          <t>Única vez</t>
        </is>
      </c>
      <c r="M11" s="10" t="inlineStr">
        <is>
          <t>2026-10-06</t>
        </is>
      </c>
      <c r="N11" s="10" t="inlineStr">
        <is>
          <t>Integrada al lago</t>
        </is>
      </c>
      <c r="O11" s="10" t="inlineStr">
        <is>
          <t>Búsqueda CKAN (areab varchi)</t>
        </is>
      </c>
      <c r="P11" s="10" t="inlineStr">
        <is>
          <t>188 cámaras de control perimetral vehicular utilizadas como proxy de presión de tráfico y emisiones.</t>
        </is>
      </c>
    </row>
    <row r="12">
      <c r="A12" s="10" t="inlineStr">
        <is>
          <t>F08</t>
        </is>
      </c>
      <c r="B12" s="10" t="inlineStr">
        <is>
          <t>Turismo: strutture ricettive per tipologia</t>
        </is>
      </c>
      <c r="C12" s="10" t="inlineStr">
        <is>
          <t>Comune di Milano - Settore Turismo</t>
        </is>
      </c>
      <c r="D12" s="10" t="inlineStr">
        <is>
          <t>Entidad pública</t>
        </is>
      </c>
      <c r="E12" s="10" t="inlineStr">
        <is>
          <t>https://dati.comune.milano.it/dataset/a0875e2b-229a-47ff-877b-f182c927d38a/resource/b566a67b-d991-490c-8271-1046fbfc5fbc/download/ds216_strutture-ricettive-dal-2002.csv</t>
        </is>
      </c>
      <c r="F12" s="10" t="inlineStr">
        <is>
          <t>CSV</t>
        </is>
      </c>
      <c r="G12" s="10" t="inlineStr">
        <is>
          <t>Descarga directa</t>
        </is>
      </c>
      <c r="H12" s="10" t="inlineStr">
        <is>
          <t>Creative Commons Attribution (CC-BY 4.0)</t>
        </is>
      </c>
      <c r="I12" s="10" t="inlineStr">
        <is>
          <t>No</t>
        </is>
      </c>
      <c r="J12" s="10" t="inlineStr">
        <is>
          <t>Ciudad de Milán</t>
        </is>
      </c>
      <c r="K12" s="10" t="inlineStr">
        <is>
          <t>2002 - 2024</t>
        </is>
      </c>
      <c r="L12" s="10" t="inlineStr">
        <is>
          <t>Anual</t>
        </is>
      </c>
      <c r="M12" s="10" t="inlineStr">
        <is>
          <t>2026-10-06</t>
        </is>
      </c>
      <c r="N12" s="10" t="inlineStr">
        <is>
          <t>Integrada al lago</t>
        </is>
      </c>
      <c r="O12" s="10" t="inlineStr">
        <is>
          <t>Búsqueda CKAN (turismo ricettive)</t>
        </is>
      </c>
      <c r="P12" s="10" t="inlineStr">
        <is>
          <t>Histórico de alojamientos y camas por categoría para evaluar presión turística sobre vivienda.</t>
        </is>
      </c>
    </row>
    <row r="13">
      <c r="A13" s="10" t="inlineStr">
        <is>
          <t>F09</t>
        </is>
      </c>
      <c r="B13" s="10" t="inlineStr">
        <is>
          <t>Vistas mensuales del artículo «Milán» en Wikipedia</t>
        </is>
      </c>
      <c r="C13" s="10" t="inlineStr">
        <is>
          <t>Wikimedia Foundation</t>
        </is>
      </c>
      <c r="D13" s="10" t="inlineStr">
        <is>
          <t>Plataforma colaborativa</t>
        </is>
      </c>
      <c r="E13" s="10" t="inlineStr">
        <is>
          <t>https://wikimedia.org/api/rest_v1/metrics/pageviews/per-article/es.wikipedia/all-access/user/Mil%C3%A1n/monthly/20250101/20260831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CC0</t>
        </is>
      </c>
      <c r="I13" s="10" t="inlineStr">
        <is>
          <t>No</t>
        </is>
      </c>
      <c r="J13" s="10" t="inlineStr">
        <is>
          <t>Ciudad (artículo Wikipedia)</t>
        </is>
      </c>
      <c r="K13" s="10" t="inlineStr">
        <is>
          <t>2025-01 a 2026-08</t>
        </is>
      </c>
      <c r="L13" s="10" t="inlineStr">
        <is>
          <t>Mensual</t>
        </is>
      </c>
      <c r="M13" s="10" t="inlineStr">
        <is>
          <t>2026-10-06</t>
        </is>
      </c>
      <c r="N13" s="10" t="inlineStr">
        <is>
          <t>Integrada al lago</t>
        </is>
      </c>
      <c r="O13" s="10" t="inlineStr">
        <is>
          <t>Script de consulta REST verificado con curl y URL canónica codificada</t>
        </is>
      </c>
      <c r="P13" s="10" t="inlineStr">
        <is>
          <t>Métrica de escucha social: interés global en Milán excluyendo bots y crawlers (filtro agent: user).</t>
        </is>
      </c>
    </row>
    <row r="14">
      <c r="A14" s="10" t="inlineStr">
        <is>
          <t>F10</t>
        </is>
      </c>
      <c r="B14" s="10" t="inlineStr">
        <is>
          <t>Registro Anagrafico delle Associazioni - Municipio 9</t>
        </is>
      </c>
      <c r="C14" s="10" t="inlineStr">
        <is>
          <t>Comune di Milano</t>
        </is>
      </c>
      <c r="D14" s="10" t="inlineStr">
        <is>
          <t>Entidad pública</t>
        </is>
      </c>
      <c r="E14" s="10" t="inlineStr">
        <is>
          <t>https://dati.comune.milano.it/dataset/b47a0400-227b-4969-9b8c-33212bb607d2/resource/cff950b7-93e9-4b04-9a7d-eaceb0529aec/download/ds1341_registro_associazioni_municipio_9.csv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Creative Commons Attribution</t>
        </is>
      </c>
      <c r="I14" s="10" t="inlineStr">
        <is>
          <t>Personas identificables</t>
        </is>
      </c>
      <c r="J14" s="10" t="inlineStr">
        <is>
          <t>Municipio 9 de Milán</t>
        </is>
      </c>
      <c r="K14" s="10" t="inlineStr">
        <is>
          <t>2023</t>
        </is>
      </c>
      <c r="L14" s="10" t="inlineStr">
        <is>
          <t>Única vez</t>
        </is>
      </c>
      <c r="M14" s="10" t="inlineStr">
        <is>
          <t>2026-10-06</t>
        </is>
      </c>
      <c r="N14" s="10" t="inlineStr">
        <is>
          <t>Descartada</t>
        </is>
      </c>
      <c r="O14" s="10" t="inlineStr">
        <is>
          <t>Búsqueda asistida por IA</t>
        </is>
      </c>
      <c r="P14" s="10" t="inlineStr">
        <is>
          <t>DESCARTADA: expone nombres de directivos, correos (@psicologoalparco.it) y celulares directos. Violación de minimización y RGPD / Ley 1581.</t>
        </is>
      </c>
    </row>
    <row r="15">
      <c r="A15" s="10" t="inlineStr">
        <is>
          <t>F11</t>
        </is>
      </c>
      <c r="B15" s="10" t="inlineStr">
        <is>
          <t>Territorio: Nuclei d'Identità Locale (NIL) - Servicio WFS/ATOM Histórico</t>
        </is>
      </c>
      <c r="C15" s="10" t="inlineStr">
        <is>
          <t>Geoportale Comune di Milano</t>
        </is>
      </c>
      <c r="D15" s="10" t="inlineStr">
        <is>
          <t>Entidad pública</t>
        </is>
      </c>
      <c r="E15" s="10" t="inlineStr">
        <is>
          <t>https://geoportale.comune.milano.it/ATOM/SIT/NIL/NIL_Service.xml</t>
        </is>
      </c>
      <c r="F15" s="10" t="inlineStr">
        <is>
          <t>Página web</t>
        </is>
      </c>
      <c r="G15" s="10" t="inlineStr">
        <is>
          <t>Descarga directa</t>
        </is>
      </c>
      <c r="H15" s="10" t="inlineStr">
        <is>
          <t>no declara</t>
        </is>
      </c>
      <c r="I15" s="10" t="inlineStr">
        <is>
          <t>No</t>
        </is>
      </c>
      <c r="J15" s="10" t="inlineStr">
        <is>
          <t>88 NIL</t>
        </is>
      </c>
      <c r="K15" s="10" t="inlineStr">
        <is>
          <t>Histórico (Pre-PGT 2030)</t>
        </is>
      </c>
      <c r="L15" s="10" t="inlineStr">
        <is>
          <t>Única vez</t>
        </is>
      </c>
      <c r="M15" s="10" t="inlineStr">
        <is>
          <t>2026-10-06</t>
        </is>
      </c>
      <c r="N15" s="10" t="inlineStr">
        <is>
          <t>No responde</t>
        </is>
      </c>
      <c r="O15" s="10" t="inlineStr">
        <is>
          <t>Rastreando catálogo histórico</t>
        </is>
      </c>
      <c r="P15" s="10" t="inlineStr">
        <is>
          <t>NO RESPONDE: Error URLError getaddrinfo failed (DNS no resuelve subdominio geoportale). Se reemplazó por la fuente vigente F01.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</row>
  </sheetData>
  <dataValidations count="6">
    <dataValidation sqref="D5:D44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44" showDropDown="0" showInputMessage="0" showErrorMessage="0" allowBlank="1" error="Elijan una opción de la lista" type="list">
      <formula1>"CSV,JSON,XLSX,Parquet,GeoJSON,Shapefile,PDF,Página web,Otro"</formula1>
    </dataValidation>
    <dataValidation sqref="G5:G44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44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44" showDropDown="0" showInputMessage="0" showErrorMessage="0" allowBlank="1" error="Elijan una opción de la lista" type="list">
      <formula1>"Tiempo real,Diaria,Mensual,Trimestral,Anual,Única vez,No se sabe"</formula1>
    </dataValidation>
    <dataValidation sqref="N5:N44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F09</t>
        </is>
      </c>
      <c r="B5" s="10" t="inlineStr">
        <is>
          <t>lago/escucha.json</t>
        </is>
      </c>
      <c r="C5" s="10" t="inlineStr">
        <is>
          <t>vistas_ultimo_mes</t>
        </is>
      </c>
      <c r="D5" s="10" t="inlineStr">
        <is>
          <t>views</t>
        </is>
      </c>
      <c r="E5" s="10" t="inlineStr">
        <is>
          <t>Vistas del artículo de Milán en Wikipedia hechas por personas en el último mes completo</t>
        </is>
      </c>
      <c r="F5" s="10" t="inlineStr">
        <is>
          <t>Entero</t>
        </is>
      </c>
      <c r="G5" s="10" t="inlineStr">
        <is>
          <t>visitas de usuarios</t>
        </is>
      </c>
      <c r="H5" s="10" t="n">
        <v>13195</v>
      </c>
      <c r="I5" s="10" t="inlineStr">
        <is>
          <t>No</t>
        </is>
      </c>
      <c r="J5" s="10" t="inlineStr">
        <is>
          <t>≥ 0</t>
        </is>
      </c>
      <c r="K5" s="10" t="inlineStr">
        <is>
          <t>Pública</t>
        </is>
      </c>
      <c r="L5" s="10" t="inlineStr">
        <is>
          <t>Filtro de tráfico automatizado (agent: user), selección del último mes cerrado</t>
        </is>
      </c>
      <c r="M5" s="10" t="inlineStr">
        <is>
          <t>¿Qué atención o interés internacional suscita la ciudad?</t>
        </is>
      </c>
    </row>
    <row r="6">
      <c r="A6" s="10" t="inlineStr">
        <is>
          <t>F03</t>
        </is>
      </c>
      <c r="B6" s="10" t="inlineStr">
        <is>
          <t>lago/seguridad.json</t>
        </is>
      </c>
      <c r="C6" s="10" t="inlineStr">
        <is>
          <t>incidentes_ultimo_anio</t>
        </is>
      </c>
      <c r="D6" s="10" t="inlineStr">
        <is>
          <t>Incidenti</t>
        </is>
      </c>
      <c r="E6" s="10" t="inlineStr">
        <is>
          <t>Total de siniestros viales registrados en la vía pública por la Polizia Locale en el último año cerrado</t>
        </is>
      </c>
      <c r="F6" s="10" t="inlineStr">
        <is>
          <t>Entero</t>
        </is>
      </c>
      <c r="G6" s="10" t="inlineStr">
        <is>
          <t>siniestros viales</t>
        </is>
      </c>
      <c r="H6" s="10" t="n">
        <v>7602</v>
      </c>
      <c r="I6" s="10" t="inlineStr">
        <is>
          <t>No</t>
        </is>
      </c>
      <c r="J6" s="10" t="inlineStr">
        <is>
          <t>≥ 0</t>
        </is>
      </c>
      <c r="K6" s="10" t="inlineStr">
        <is>
          <t>Pública</t>
        </is>
      </c>
      <c r="L6" s="10" t="inlineStr">
        <is>
          <t>Agregación y suma anualizada de reportes mensuales de los 9 Municipi</t>
        </is>
      </c>
      <c r="M6" s="10" t="inlineStr">
        <is>
          <t>¿Cuál es el panorama de seguridad vial y siniestros en la ciudad?</t>
        </is>
      </c>
    </row>
    <row r="7">
      <c r="A7" s="10" t="inlineStr">
        <is>
          <t>F03</t>
        </is>
      </c>
      <c r="B7" s="10" t="inlineStr">
        <is>
          <t>lago/seguridad.json</t>
        </is>
      </c>
      <c r="C7" s="10" t="inlineStr">
        <is>
          <t>lesionados_ultimo_anio</t>
        </is>
      </c>
      <c r="D7" s="10" t="inlineStr">
        <is>
          <t>Feriti</t>
        </is>
      </c>
      <c r="E7" s="10" t="inlineStr">
        <is>
          <t>Número total de personas que resultaron con lesiones corporales en siniestros viales</t>
        </is>
      </c>
      <c r="F7" s="10" t="inlineStr">
        <is>
          <t>Entero</t>
        </is>
      </c>
      <c r="G7" s="10" t="inlineStr">
        <is>
          <t>personas lesionadas</t>
        </is>
      </c>
      <c r="H7" s="10" t="n">
        <v>9384</v>
      </c>
      <c r="I7" s="10" t="inlineStr">
        <is>
          <t>No</t>
        </is>
      </c>
      <c r="J7" s="10" t="inlineStr">
        <is>
          <t>≥ 0</t>
        </is>
      </c>
      <c r="K7" s="10" t="inlineStr">
        <is>
          <t>Pública</t>
        </is>
      </c>
      <c r="L7" s="10" t="inlineStr">
        <is>
          <t>Suma de personas heridas reportadas en atenciones de tránsito</t>
        </is>
      </c>
      <c r="M7" s="10" t="inlineStr">
        <is>
          <t>¿Dónde se concentran los lesionados y cuál es la gravedad vial?</t>
        </is>
      </c>
    </row>
    <row r="8">
      <c r="A8" s="10" t="inlineStr">
        <is>
          <t>F02</t>
        </is>
      </c>
      <c r="B8" s="10" t="inlineStr">
        <is>
          <t>lago/demografia.json</t>
        </is>
      </c>
      <c r="C8" s="10" t="inlineStr">
        <is>
          <t>familias_residentes_ultimo_anio</t>
        </is>
      </c>
      <c r="D8" s="10" t="inlineStr">
        <is>
          <t>Famiglie</t>
        </is>
      </c>
      <c r="E8" s="10" t="inlineStr">
        <is>
          <t>Total de hogares y núcleos familiares registrados en el padrón anagráfico municipal</t>
        </is>
      </c>
      <c r="F8" s="10" t="inlineStr">
        <is>
          <t>Entero</t>
        </is>
      </c>
      <c r="G8" s="10" t="inlineStr">
        <is>
          <t>familias censadas</t>
        </is>
      </c>
      <c r="H8" s="10" t="n">
        <v>620587</v>
      </c>
      <c r="I8" s="10" t="inlineStr">
        <is>
          <t>No</t>
        </is>
      </c>
      <c r="J8" s="10" t="inlineStr">
        <is>
          <t>≥ 0</t>
        </is>
      </c>
      <c r="K8" s="10" t="inlineStr">
        <is>
          <t>Pública</t>
        </is>
      </c>
      <c r="L8" s="10" t="inlineStr">
        <is>
          <t>Consolidación de registros de familias por municipio para el último año censal disponible</t>
        </is>
      </c>
      <c r="M8" s="10" t="inlineStr">
        <is>
          <t>¿Cuánta gente vive y cómo se distribuye la población?</t>
        </is>
      </c>
    </row>
    <row r="9">
      <c r="A9" s="10" t="inlineStr">
        <is>
          <t>F02</t>
        </is>
      </c>
      <c r="B9" s="10" t="inlineStr">
        <is>
          <t>lago/demografia.json</t>
        </is>
      </c>
      <c r="C9" s="10" t="inlineStr">
        <is>
          <t>poblacion_estimada_familias</t>
        </is>
      </c>
      <c r="D9" s="10" t="inlineStr">
        <is>
          <t>Numero componenti * Famiglie</t>
        </is>
      </c>
      <c r="E9" s="10" t="inlineStr">
        <is>
          <t>Estimación del total de personas que conviven en familias registradas</t>
        </is>
      </c>
      <c r="F9" s="10" t="inlineStr">
        <is>
          <t>Entero</t>
        </is>
      </c>
      <c r="G9" s="10" t="inlineStr">
        <is>
          <t>habitantes en familias</t>
        </is>
      </c>
      <c r="H9" s="10" t="n">
        <v>1002644</v>
      </c>
      <c r="I9" s="10" t="inlineStr">
        <is>
          <t>No</t>
        </is>
      </c>
      <c r="J9" s="10" t="inlineStr">
        <is>
          <t>≥ 0</t>
        </is>
      </c>
      <c r="K9" s="10" t="inlineStr">
        <is>
          <t>Pública</t>
        </is>
      </c>
      <c r="L9" s="10" t="inlineStr">
        <is>
          <t>Multiplicación de familias por número de componentes declarados</t>
        </is>
      </c>
      <c r="M9" s="10" t="inlineStr">
        <is>
          <t>¿Cuánta gente vive en hogares familiares en Milán?</t>
        </is>
      </c>
    </row>
    <row r="10">
      <c r="A10" s="10" t="inlineStr">
        <is>
          <t>F06</t>
        </is>
      </c>
      <c r="B10" s="10" t="inlineStr">
        <is>
          <t>lago/ambiente.json</t>
        </is>
      </c>
      <c r="C10" s="10" t="inlineStr">
        <is>
          <t>promedio_no2</t>
        </is>
      </c>
      <c r="D10" s="10" t="inlineStr">
        <is>
          <t>valore (inquinante = NO2)</t>
        </is>
      </c>
      <c r="E10" s="10" t="inlineStr">
        <is>
          <t>Concentración promedio de dióxido de nitrógeno registrada en las estaciones urbanas de Milán</t>
        </is>
      </c>
      <c r="F10" s="10" t="inlineStr">
        <is>
          <t>Decimal</t>
        </is>
      </c>
      <c r="G10" s="10" t="inlineStr">
        <is>
          <t>µg/m³</t>
        </is>
      </c>
      <c r="H10" s="10" t="n">
        <v>59.92</v>
      </c>
      <c r="I10" s="10" t="inlineStr">
        <is>
          <t>No</t>
        </is>
      </c>
      <c r="J10" s="10" t="inlineStr">
        <is>
          <t>≥ 0.0</t>
        </is>
      </c>
      <c r="K10" s="10" t="inlineStr">
        <is>
          <t>Pública</t>
        </is>
      </c>
      <c r="L10" s="10" t="inlineStr">
        <is>
          <t>Filtrado por inquinante 'NO2' y cálculo de media aritmética de estaciones fijas</t>
        </is>
      </c>
      <c r="M10" s="10" t="inlineStr">
        <is>
          <t>¿Cuál es el nivel de exposición ambiental y calidad del aire?</t>
        </is>
      </c>
    </row>
    <row r="11">
      <c r="A11" s="10" t="inlineStr">
        <is>
          <t>F06</t>
        </is>
      </c>
      <c r="B11" s="10" t="inlineStr">
        <is>
          <t>lago/ambiente.json</t>
        </is>
      </c>
      <c r="C11" s="10" t="inlineStr">
        <is>
          <t>promedio_pm10</t>
        </is>
      </c>
      <c r="D11" s="10" t="inlineStr">
        <is>
          <t>valore (inquinante = PM10)</t>
        </is>
      </c>
      <c r="E11" s="10" t="inlineStr">
        <is>
          <t>Concentración promedio de material particulado PM10 en el aire urbano</t>
        </is>
      </c>
      <c r="F11" s="10" t="inlineStr">
        <is>
          <t>Decimal</t>
        </is>
      </c>
      <c r="G11" s="10" t="inlineStr">
        <is>
          <t>µg/m³</t>
        </is>
      </c>
      <c r="H11" s="10" t="n">
        <v>30.4</v>
      </c>
      <c r="I11" s="10" t="inlineStr">
        <is>
          <t>No</t>
        </is>
      </c>
      <c r="J11" s="10" t="inlineStr">
        <is>
          <t>≥ 0.0</t>
        </is>
      </c>
      <c r="K11" s="10" t="inlineStr">
        <is>
          <t>Pública</t>
        </is>
      </c>
      <c r="L11" s="10" t="inlineStr">
        <is>
          <t>Filtrado por inquinante 'PM10' y promedio de lecturas diarias</t>
        </is>
      </c>
      <c r="M11" s="10" t="inlineStr">
        <is>
          <t>¿Cuál es el nivel de partículas suspendidas en el ambiente?</t>
        </is>
      </c>
    </row>
    <row r="12">
      <c r="A12" s="10" t="inlineStr">
        <is>
          <t>F01</t>
        </is>
      </c>
      <c r="B12" s="10" t="inlineStr">
        <is>
          <t>territorio/nil.csv</t>
        </is>
      </c>
      <c r="C12" s="10" t="inlineStr">
        <is>
          <t>id_nil</t>
        </is>
      </c>
      <c r="D12" s="10" t="inlineStr">
        <is>
          <t>ID_NIL</t>
        </is>
      </c>
      <c r="E12" s="10" t="inlineStr">
        <is>
          <t>Identificador numérico oficial del Núcleo de Identidad Local (NIL) según el PGT</t>
        </is>
      </c>
      <c r="F12" s="10" t="inlineStr">
        <is>
          <t>Código</t>
        </is>
      </c>
      <c r="G12" s="10" t="inlineStr">
        <is>
          <t>código territorial</t>
        </is>
      </c>
      <c r="H12" s="10" t="n">
        <v>48</v>
      </c>
      <c r="I12" s="10" t="inlineStr">
        <is>
          <t>No</t>
        </is>
      </c>
      <c r="J12" s="10" t="inlineStr">
        <is>
          <t>1 a 88</t>
        </is>
      </c>
      <c r="K12" s="10" t="inlineStr">
        <is>
          <t>Pública</t>
        </is>
      </c>
      <c r="L12" s="10" t="inlineStr">
        <is>
          <t>Extracción de ID del shapefile oficial y cruce con centroides EPSG:4326</t>
        </is>
      </c>
      <c r="M12" s="10" t="inlineStr">
        <is>
          <t>¿Cuál es la delimitación geográfica de los 88 barrios de Milán?</t>
        </is>
      </c>
    </row>
    <row r="13">
      <c r="A13" s="10" t="inlineStr">
        <is>
          <t>F01</t>
        </is>
      </c>
      <c r="B13" s="10" t="inlineStr">
        <is>
          <t>territorio/nil.geojson</t>
        </is>
      </c>
      <c r="C13" s="10" t="inlineStr">
        <is>
          <t>nombre_nil</t>
        </is>
      </c>
      <c r="D13" s="10" t="inlineStr">
        <is>
          <t>NIL</t>
        </is>
      </c>
      <c r="E13" s="10" t="inlineStr">
        <is>
          <t>Denominación toponímica oficial del barrio según el Plan General de Territorio (PGT 2030)</t>
        </is>
      </c>
      <c r="F13" s="10" t="inlineStr">
        <is>
          <t>Texto</t>
        </is>
      </c>
      <c r="G13" s="10" t="inlineStr">
        <is>
          <t>nombre de barrio</t>
        </is>
      </c>
      <c r="H13" s="10" t="inlineStr">
        <is>
          <t>DUOMO</t>
        </is>
      </c>
      <c r="I13" s="10" t="inlineStr">
        <is>
          <t>No</t>
        </is>
      </c>
      <c r="J13" s="10" t="inlineStr">
        <is>
          <t>Texto oficial PGT</t>
        </is>
      </c>
      <c r="K13" s="10" t="inlineStr">
        <is>
          <t>Pública</t>
        </is>
      </c>
      <c r="L13" s="10" t="inlineStr">
        <is>
          <t>Normalización en mayúsculas sostenidas y codificación UTF-8</t>
        </is>
      </c>
      <c r="M13" s="10" t="inlineStr">
        <is>
          <t>¿Cómo se denomina y delimita cada uno de los 88 barrios de Milán?</t>
        </is>
      </c>
    </row>
    <row r="14">
      <c r="A14" s="10" t="inlineStr">
        <is>
          <t>F01</t>
        </is>
      </c>
      <c r="B14" s="10" t="inlineStr">
        <is>
          <t>territorio/nil.geojson</t>
        </is>
      </c>
      <c r="C14" s="10" t="inlineStr">
        <is>
          <t>superficie_nil_m2</t>
        </is>
      </c>
      <c r="D14" s="10" t="inlineStr">
        <is>
          <t>Shape_Area</t>
        </is>
      </c>
      <c r="E14" s="10" t="inlineStr">
        <is>
          <t>Área territorial total en metros cuadrados del polígono barrial en proyección oficial</t>
        </is>
      </c>
      <c r="F14" s="10" t="inlineStr">
        <is>
          <t>Decimal</t>
        </is>
      </c>
      <c r="G14" s="10" t="inlineStr">
        <is>
          <t>metros cuadrados (m²)</t>
        </is>
      </c>
      <c r="H14" s="10" t="n">
        <v>2406306.08</v>
      </c>
      <c r="I14" s="10" t="inlineStr">
        <is>
          <t>No</t>
        </is>
      </c>
      <c r="J14" s="10" t="inlineStr">
        <is>
          <t>&gt; 0.0</t>
        </is>
      </c>
      <c r="K14" s="10" t="inlineStr">
        <is>
          <t>Pública</t>
        </is>
      </c>
      <c r="L14" s="10" t="inlineStr">
        <is>
          <t>Cálculo geométrico del polígono proyectado en EPSG:4326</t>
        </is>
      </c>
      <c r="M14" s="10" t="inlineStr">
        <is>
          <t>¿Cuál es la extensión espacial de cada núcleo de identidad local?</t>
        </is>
      </c>
    </row>
    <row r="15">
      <c r="A15" s="10" t="inlineStr">
        <is>
          <t>F04</t>
        </is>
      </c>
      <c r="B15" s="10" t="inlineStr">
        <is>
          <t>territorio/bikemi.geojson</t>
        </is>
      </c>
      <c r="C15" s="10" t="inlineStr">
        <is>
          <t>id_estacion_bikemi</t>
        </is>
      </c>
      <c r="D15" s="10" t="inlineStr">
        <is>
          <t>numero</t>
        </is>
      </c>
      <c r="E15" s="10" t="inlineStr">
        <is>
          <t>Número identificador oficial de la estación de bicicletas públicas compartidas BikeMi</t>
        </is>
      </c>
      <c r="F15" s="10" t="inlineStr">
        <is>
          <t>Código</t>
        </is>
      </c>
      <c r="G15" s="10" t="inlineStr">
        <is>
          <t>código de estación</t>
        </is>
      </c>
      <c r="H15" s="10" t="n">
        <v>102</v>
      </c>
      <c r="I15" s="10" t="inlineStr">
        <is>
          <t>No</t>
        </is>
      </c>
      <c r="J15" s="10" t="inlineStr">
        <is>
          <t>1 a 500</t>
        </is>
      </c>
      <c r="K15" s="10" t="inlineStr">
        <is>
          <t>Pública</t>
        </is>
      </c>
      <c r="L15" s="10" t="inlineStr">
        <is>
          <t>Validación de código numérico entero asignado por AMAT</t>
        </is>
      </c>
      <c r="M15" s="10" t="inlineStr">
        <is>
          <t>¿Cómo se distribuye la infraestructura de micromovilidad en la ciudad?</t>
        </is>
      </c>
    </row>
    <row r="16">
      <c r="A16" s="10" t="inlineStr">
        <is>
          <t>F04</t>
        </is>
      </c>
      <c r="B16" s="10" t="inlineStr">
        <is>
          <t>territorio/bikemi.geojson</t>
        </is>
      </c>
      <c r="C16" s="10" t="inlineStr">
        <is>
          <t>nombre_estacion</t>
        </is>
      </c>
      <c r="D16" s="10" t="inlineStr">
        <is>
          <t>nome</t>
        </is>
      </c>
      <c r="E16" s="10" t="inlineStr">
        <is>
          <t>Dirección y referencia física de localización del punto de anclaje de bicicletas</t>
        </is>
      </c>
      <c r="F16" s="10" t="inlineStr">
        <is>
          <t>Texto</t>
        </is>
      </c>
      <c r="G16" s="10" t="inlineStr">
        <is>
          <t>dirección toponímica</t>
        </is>
      </c>
      <c r="H16" s="10" t="inlineStr">
        <is>
          <t>Cordusio</t>
        </is>
      </c>
      <c r="I16" s="10" t="inlineStr">
        <is>
          <t>No</t>
        </is>
      </c>
      <c r="J16" s="10" t="inlineStr">
        <is>
          <t>Texto no vacío</t>
        </is>
      </c>
      <c r="K16" s="10" t="inlineStr">
        <is>
          <t>Pública</t>
        </is>
      </c>
      <c r="L16" s="10" t="inlineStr">
        <is>
          <t>Normalización de cadenas y limpieza de espacios en blanco</t>
        </is>
      </c>
      <c r="M16" s="10" t="inlineStr">
        <is>
          <t>¿Dónde están ubicadas las estaciones de bicicletas compartidas?</t>
        </is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</sheetData>
  <dataValidations count="3">
    <dataValidation sqref="F5:F44" showDropDown="0" showInputMessage="0" showErrorMessage="0" allowBlank="1" error="Elijan una opción de la lista" type="list">
      <formula1>"Texto,Entero,Decimal,Fecha,Booleano,Código,Coordenada / geometría"</formula1>
    </dataValidation>
    <dataValidation sqref="I5:I44" showDropDown="0" showInputMessage="0" showErrorMessage="0" allowBlank="1" error="Elijan una opción de la lista" type="list">
      <formula1>"Sí,No"</formula1>
    </dataValidation>
    <dataValidation sqref="K5:K44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n">
        <v>1</v>
      </c>
      <c r="B5" s="10" t="inlineStr">
        <is>
          <t>Claude</t>
        </is>
      </c>
      <c r="C5" s="10" t="inlineStr">
        <is>
          <t>Encontrar una fuente abierta y sin llave que mida cuánto interés despierta Milán fuera de Italia</t>
        </is>
      </c>
      <c r="D5" s="10" t="inlineStr">
        <is>
          <t>Propuso Google Trends y la API de vistas de Wikipedia</t>
        </is>
      </c>
      <c r="E5" s="10" t="inlineStr">
        <is>
          <t>Probamos las dos: Google Trends no tiene API abierta ni licencia de reutilización; la de Wikimedia respondió con curl y declara CC0</t>
        </is>
      </c>
      <c r="F5" s="10" t="inlineStr">
        <is>
          <t>Parcial</t>
        </is>
      </c>
      <c r="G5" s="10" t="inlineStr">
        <is>
          <t>F09</t>
        </is>
      </c>
      <c r="H5" s="10" t="inlineStr">
        <is>
          <t>Que la IA mencione una fuente no implica que se pueda usar: la licencia y el acceso se auditan empíricamente.</t>
        </is>
      </c>
    </row>
    <row r="6">
      <c r="A6" s="10" t="n">
        <v>2</v>
      </c>
      <c r="B6" s="10" t="inlineStr">
        <is>
          <t>Claude Code / Antigravity</t>
        </is>
      </c>
      <c r="C6" s="10" t="inlineStr">
        <is>
          <t>Localizar la escala y subdivisión territorial oficial de Milán para estructurar el gemelo urbano</t>
        </is>
      </c>
      <c r="D6" s="10" t="inlineStr">
        <is>
          <t>Sugirió buscar por 'distretti' genéricos o comunas metropolitanas</t>
        </is>
      </c>
      <c r="E6" s="10" t="inlineStr">
        <is>
          <t>Consultamos la documentación oficial del Comune di Milano y descubrimos que la unidad oficial de planificación son los 88 NIL (Nuclei di Identità Locale) aprobados por el PGT 2030</t>
        </is>
      </c>
      <c r="F6" s="10" t="inlineStr">
        <is>
          <t>Parcial</t>
        </is>
      </c>
      <c r="G6" s="10" t="inlineStr">
        <is>
          <t>F01</t>
        </is>
      </c>
      <c r="H6" s="10" t="inlineStr">
        <is>
          <t>Milán no divide su planificación territorial en distritos genéricos como Lima; su unidad oficial normativa aprobada en el PGT son los NIL.</t>
        </is>
      </c>
    </row>
    <row r="7">
      <c r="A7" s="10" t="n">
        <v>3</v>
      </c>
      <c r="B7" s="10" t="inlineStr">
        <is>
          <t>Claude Code / Antigravity</t>
        </is>
      </c>
      <c r="C7" s="10" t="inlineStr">
        <is>
          <t>Encontrar una API oficial en tiempo real de calidad del aire para Milán</t>
        </is>
      </c>
      <c r="D7" s="10" t="inlineStr">
        <is>
          <t>Inventó un endpoint inexistente: https://dati.comune.milano.it/api/v1/airquality/stations.json</t>
        </is>
      </c>
      <c r="E7" s="10" t="inlineStr">
        <is>
          <t>Probamos la URL con curl y devolvió error HTTP 404; auditamos el catálogo CKAN oficial hasta encontrar el recurso vigente ds2969 (septiembre 2026)</t>
        </is>
      </c>
      <c r="F7" s="10" t="inlineStr">
        <is>
          <t>Inventado</t>
        </is>
      </c>
      <c r="G7" s="10" t="inlineStr">
        <is>
          <t>F06</t>
        </is>
      </c>
      <c r="H7" s="10" t="inlineStr">
        <is>
          <t>Los modelos de lenguaje inventan rutas REST verosímiles; ninguna URL entra al catálogo sin comprobarse en la terminal.</t>
        </is>
      </c>
    </row>
    <row r="8">
      <c r="A8" s="10" t="n">
        <v>4</v>
      </c>
      <c r="B8" s="10" t="inlineStr">
        <is>
          <t>Claude Code / Antigravity</t>
        </is>
      </c>
      <c r="C8" s="10" t="inlineStr">
        <is>
          <t>Escribir el script de ingesta de consultas mensuales en Wikipedia para Milán</t>
        </is>
      </c>
      <c r="D8" s="10" t="inlineStr">
        <is>
          <t>Entregó código estándar con urllib pero con la URL sin codificar para caracteres especiales ('Milán')</t>
        </is>
      </c>
      <c r="E8" s="10" t="inlineStr">
        <is>
          <t>La API de Wikimedia falló con página de desambiguación; se corrigió agregando urllib.parse.quote y resolviendo el título canónico normalizado</t>
        </is>
      </c>
      <c r="F8" s="10" t="inlineStr">
        <is>
          <t>Parcial</t>
        </is>
      </c>
      <c r="G8" s="10" t="inlineStr">
        <is>
          <t>F09</t>
        </is>
      </c>
      <c r="H8" s="10" t="inlineStr">
        <is>
          <t>Los títulos con tildes y caracteres especiales requieren codificación canónica de URL para garantizar reproducibilidad.</t>
        </is>
      </c>
    </row>
    <row r="9">
      <c r="A9" s="10" t="n">
        <v>5</v>
      </c>
      <c r="B9" s="10" t="inlineStr">
        <is>
          <t>Claude Code / Antigravity</t>
        </is>
      </c>
      <c r="C9" s="10" t="inlineStr">
        <is>
          <t>Generar expresión regular para verificar ausencia de datos personales (PII) en el lago</t>
        </is>
      </c>
      <c r="D9" s="10" t="inlineStr">
        <is>
          <t>Propuso un regex diseñado exclusivamente para números celulares de Colombia (3\d{9})</t>
        </is>
      </c>
      <c r="E9" s="10" t="inlineStr">
        <is>
          <t>Nos dimos cuenta de que dejaría pasar números italianos; lo corregimos incorporando prefijos internacionales y móviles de Italia ((?:\+39\s?)?3\d{8,9})</t>
        </is>
      </c>
      <c r="F9" s="10" t="inlineStr">
        <is>
          <t>Parcial</t>
        </is>
      </c>
      <c r="G9" s="10" t="inlineStr">
        <is>
          <t>F10</t>
        </is>
      </c>
      <c r="H9" s="10" t="inlineStr">
        <is>
          <t>Las políticas y filtros de seguridad como código deben ajustarse a la normativa y territorio del sistema que se gobierna.</t>
        </is>
      </c>
    </row>
    <row r="10">
      <c r="A10" s="10" t="n">
        <v>6</v>
      </c>
      <c r="B10" s="10" t="inlineStr">
        <is>
          <t>ChatGPT-4o</t>
        </is>
      </c>
      <c r="C10" s="10" t="inlineStr">
        <is>
          <t>Rastrear telemetría de consumo eléctrico y gas en tiempo real por cada barrio (NIL) de Milán</t>
        </is>
      </c>
      <c r="D10" s="10" t="inlineStr">
        <is>
          <t>Afirmó que la empresa de servicios públicos A2A publicaba una API REST abierta en a2a.eu/opendata/energy-nil.json</t>
        </is>
      </c>
      <c r="E10" s="10" t="inlineStr">
        <is>
          <t>Se probó con curl: el dominio devolvió HTTP 404 y tras contactar el portal se constató que la telemetría energética es información comercial reservada</t>
        </is>
      </c>
      <c r="F10" s="10" t="inlineStr">
        <is>
          <t>Inventado</t>
        </is>
      </c>
      <c r="G10" s="10" t="inlineStr">
        <is>
          <t>F07</t>
        </is>
      </c>
      <c r="H10" s="10" t="inlineStr">
        <is>
          <t>La IA inventa accesos abiertos para datos que son privados o comerciales; obligó a diseñar la solución sustituta mediante proxies de Área B y NO2.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</sheetData>
  <dataValidations count="1">
    <dataValidation sqref="F5:F44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4">
      <c r="A4" s="11" t="inlineStr">
        <is>
          <t>Fuentes registradas</t>
        </is>
      </c>
      <c r="B4" s="12">
        <f>COUNTA('1. Fuentes'!A5:A44)</f>
        <v/>
      </c>
    </row>
    <row r="5">
      <c r="A5" s="13" t="inlineStr">
        <is>
          <t xml:space="preserve">  · integradas al lago</t>
        </is>
      </c>
      <c r="B5" s="12">
        <f>COUNTIF('1. Fuentes'!N5:N44,"Integrada al lago")</f>
        <v/>
      </c>
    </row>
    <row r="6">
      <c r="A6" s="13" t="inlineStr">
        <is>
          <t xml:space="preserve">  · candidatas</t>
        </is>
      </c>
      <c r="B6" s="12">
        <f>COUNTIF('1. Fuentes'!N5:N44,"Candidata")</f>
        <v/>
      </c>
    </row>
    <row r="7">
      <c r="A7" s="13" t="inlineStr">
        <is>
          <t xml:space="preserve">  · que no responden</t>
        </is>
      </c>
      <c r="B7" s="12">
        <f>COUNTIF('1. Fuentes'!N5:N44,"No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Fuentes'!N5:N44,"No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Fuentes'!N5:N44,"Descartada")</f>
        <v/>
      </c>
    </row>
    <row r="10">
      <c r="A10" s="11" t="inlineStr">
        <is>
          <t>Fuentes con licencia «no declara» o vacía</t>
        </is>
      </c>
      <c r="B10" s="12">
        <f>COUNTIF('1. Fuentes'!H5:H44,"no declara")+COUNTIFS('1. Fuentes'!A5:A44,"&lt;&gt;",'1. Fuentes'!H5:H44,"")</f>
        <v/>
      </c>
    </row>
    <row r="11">
      <c r="A11" s="11" t="inlineStr">
        <is>
          <t>Fuentes con personas identificables o texto libre</t>
        </is>
      </c>
      <c r="B11" s="12">
        <f>COUNTIF('1. Fuentes'!I5:I44,"Personas identificables")+COUNTIF('1. Fuentes'!I5:I44,"Texto libre sin revisar")</f>
        <v/>
      </c>
    </row>
    <row r="12">
      <c r="A12" s="11" t="inlineStr">
        <is>
          <t>Campos en el diccionario</t>
        </is>
      </c>
      <c r="B12" s="12">
        <f>COUNTA('2. Diccionario'!C5:C44)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Diccionario'!K5:K44,"Sensible")+COUNTIF('2. Diccionario'!K5:K44,"Dato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Diccionario'!C5:C44,"&lt;&gt;",'2. Diccionario'!M5:M44,"")</f>
        <v/>
      </c>
    </row>
    <row r="15">
      <c r="A15" s="11" t="inlineStr">
        <is>
          <t>Encargos a la IA registrados</t>
        </is>
      </c>
      <c r="B15" s="12">
        <f>COUNTA('3. Bitácora IA'!C5:C44)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IA'!F5:F44,"Incorrecto")+COUNTIF('3. Bitácora IA'!F5:F44,"Inventado")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IA'!F5:F44,"Correcto")/B15)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2026-09-28T11:22:59Z</dcterms:created>
  <dcterms:modified xmlns:dcterms="http://purl.org/dc/terms/" xmlns:xsi="http://www.w3.org/2001/XMLSchema-instance" xsi:type="dcterms:W3CDTF">2026-10-07T03:33:08Z</dcterms:modified>
  <cp:lastModifiedBy>Santiago Jimenez Londono</cp:lastModifiedBy>
</cp:coreProperties>
</file>